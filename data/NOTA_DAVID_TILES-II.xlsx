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reuboavida/Documents/"/>
    </mc:Choice>
  </mc:AlternateContent>
  <xr:revisionPtr revIDLastSave="0" documentId="13_ncr:1_{9284F1BF-FD77-6949-98CD-137029211DC2}" xr6:coauthVersionLast="47" xr6:coauthVersionMax="47" xr10:uidLastSave="{00000000-0000-0000-0000-000000000000}"/>
  <bookViews>
    <workbookView xWindow="0" yWindow="840" windowWidth="34200" windowHeight="21400" activeTab="4" xr2:uid="{9ECDE4F2-5B29-4B4F-A8A5-7388E3991948}"/>
  </bookViews>
  <sheets>
    <sheet name="Fulan-Junho)" sheetId="5" r:id="rId1"/>
    <sheet name="Sparpart-motor" sheetId="1" r:id="rId2"/>
    <sheet name="Fulan Marco" sheetId="2" r:id="rId3"/>
    <sheet name="Fulan-Abril" sheetId="3" r:id="rId4"/>
    <sheet name="Fulan-Maio" sheetId="4" r:id="rId5"/>
  </sheets>
  <definedNames>
    <definedName name="_xlnm.Print_Area" localSheetId="1">'Sparpart-motor'!$I$37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4" l="1"/>
  <c r="K65" i="3"/>
  <c r="H8" i="4"/>
  <c r="N56" i="4"/>
  <c r="C237" i="5"/>
  <c r="H82" i="5"/>
  <c r="I82" i="5"/>
  <c r="I7" i="5"/>
  <c r="C235" i="5"/>
  <c r="F233" i="5"/>
  <c r="C233" i="5"/>
  <c r="E233" i="5"/>
  <c r="M19" i="5"/>
  <c r="J6" i="5"/>
  <c r="K6" i="5" s="1"/>
  <c r="K7" i="5" s="1"/>
  <c r="J5" i="5"/>
  <c r="R55" i="2"/>
  <c r="Q45" i="2"/>
  <c r="Q47" i="2"/>
  <c r="Q48" i="2"/>
  <c r="Q49" i="2"/>
  <c r="Q50" i="2"/>
  <c r="Q51" i="2"/>
  <c r="Q52" i="2"/>
  <c r="Q53" i="2"/>
  <c r="Q54" i="2"/>
  <c r="Q44" i="2"/>
  <c r="P55" i="2"/>
  <c r="O55" i="2"/>
  <c r="M55" i="2"/>
  <c r="L55" i="2"/>
  <c r="K55" i="2"/>
  <c r="J7" i="4"/>
  <c r="E236" i="4"/>
  <c r="E235" i="4"/>
  <c r="K7" i="3"/>
  <c r="J7" i="3"/>
  <c r="M56" i="4"/>
  <c r="L233" i="4"/>
  <c r="I7" i="4"/>
  <c r="C233" i="4"/>
  <c r="D233" i="4"/>
  <c r="E233" i="4"/>
  <c r="F233" i="4" s="1"/>
  <c r="I6" i="4"/>
  <c r="J6" i="4" s="1"/>
  <c r="I5" i="4"/>
  <c r="J5" i="4" s="1"/>
  <c r="L56" i="4"/>
  <c r="F297" i="3"/>
  <c r="E297" i="3"/>
  <c r="D297" i="3"/>
  <c r="P6" i="3"/>
  <c r="E26" i="3"/>
  <c r="P5" i="3"/>
  <c r="P4" i="3"/>
  <c r="G295" i="3"/>
  <c r="F295" i="3"/>
  <c r="J65" i="3"/>
  <c r="I65" i="3"/>
  <c r="J5" i="3"/>
  <c r="K5" i="3" s="1"/>
  <c r="J6" i="3"/>
  <c r="K6" i="3" s="1"/>
  <c r="E295" i="3"/>
  <c r="D295" i="3"/>
  <c r="C297" i="3" s="1"/>
  <c r="C299" i="3" s="1"/>
  <c r="D299" i="3" s="1"/>
  <c r="C295" i="3"/>
  <c r="K33" i="2"/>
  <c r="O44" i="2"/>
  <c r="P44" i="2" s="1"/>
  <c r="N40" i="2"/>
  <c r="O37" i="2"/>
  <c r="P37" i="2"/>
  <c r="E58" i="2"/>
  <c r="M40" i="2"/>
  <c r="N38" i="2"/>
  <c r="O38" i="2" s="1"/>
  <c r="N37" i="2"/>
  <c r="T33" i="2"/>
  <c r="O33" i="2"/>
  <c r="P33" i="2"/>
  <c r="S33" i="2"/>
  <c r="Q33" i="2"/>
  <c r="N26" i="2"/>
  <c r="N24" i="2"/>
  <c r="N13" i="2"/>
  <c r="N14" i="2"/>
  <c r="N15" i="2"/>
  <c r="N16" i="2"/>
  <c r="N17" i="2"/>
  <c r="N18" i="2"/>
  <c r="N19" i="2"/>
  <c r="N20" i="2"/>
  <c r="N21" i="2"/>
  <c r="N22" i="2"/>
  <c r="N23" i="2"/>
  <c r="N12" i="2"/>
  <c r="N8" i="2"/>
  <c r="M12" i="2"/>
  <c r="M11" i="2"/>
  <c r="M10" i="2"/>
  <c r="M9" i="2"/>
  <c r="M7" i="2"/>
  <c r="M5" i="2"/>
  <c r="M6" i="2"/>
  <c r="M4" i="2"/>
  <c r="M3" i="2"/>
  <c r="M2" i="2"/>
  <c r="D186" i="2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47" i="1"/>
  <c r="G133" i="1"/>
  <c r="G134" i="1"/>
  <c r="G135" i="1"/>
  <c r="G136" i="1"/>
  <c r="G137" i="1"/>
  <c r="G138" i="1"/>
  <c r="G139" i="1"/>
  <c r="G140" i="1"/>
  <c r="G141" i="1"/>
  <c r="G132" i="1"/>
  <c r="G128" i="1"/>
  <c r="I128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15" i="1"/>
  <c r="G102" i="1"/>
  <c r="G103" i="1"/>
  <c r="G104" i="1"/>
  <c r="G105" i="1"/>
  <c r="G106" i="1"/>
  <c r="G107" i="1"/>
  <c r="G108" i="1"/>
  <c r="G109" i="1"/>
  <c r="G110" i="1"/>
  <c r="G111" i="1"/>
  <c r="G10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81" i="1"/>
  <c r="G77" i="1"/>
  <c r="G76" i="1"/>
  <c r="G75" i="1"/>
  <c r="G70" i="1"/>
  <c r="G71" i="1"/>
  <c r="G69" i="1"/>
  <c r="G57" i="1"/>
  <c r="G58" i="1"/>
  <c r="G59" i="1"/>
  <c r="G60" i="1"/>
  <c r="G61" i="1"/>
  <c r="G62" i="1"/>
  <c r="G63" i="1"/>
  <c r="G64" i="1"/>
  <c r="G65" i="1"/>
  <c r="G56" i="1"/>
  <c r="G45" i="1"/>
  <c r="G46" i="1"/>
  <c r="G47" i="1"/>
  <c r="G48" i="1"/>
  <c r="G49" i="1"/>
  <c r="G50" i="1"/>
  <c r="G51" i="1"/>
  <c r="G52" i="1"/>
  <c r="G44" i="1"/>
  <c r="G29" i="1"/>
  <c r="G30" i="1"/>
  <c r="G31" i="1"/>
  <c r="G32" i="1"/>
  <c r="G33" i="1"/>
  <c r="G34" i="1"/>
  <c r="G35" i="1"/>
  <c r="G36" i="1"/>
  <c r="G37" i="1"/>
  <c r="G38" i="1"/>
  <c r="G39" i="1"/>
  <c r="G40" i="1"/>
  <c r="G28" i="1"/>
  <c r="G41" i="1" s="1"/>
  <c r="G18" i="1"/>
  <c r="G19" i="1"/>
  <c r="G20" i="1"/>
  <c r="G21" i="1"/>
  <c r="G22" i="1"/>
  <c r="G23" i="1"/>
  <c r="G24" i="1"/>
  <c r="G17" i="1"/>
  <c r="G25" i="1" s="1"/>
  <c r="G5" i="1"/>
  <c r="G6" i="1"/>
  <c r="G7" i="1"/>
  <c r="G8" i="1"/>
  <c r="G9" i="1"/>
  <c r="G10" i="1"/>
  <c r="G11" i="1"/>
  <c r="G12" i="1"/>
  <c r="G13" i="1"/>
  <c r="G4" i="1"/>
  <c r="F14" i="1"/>
  <c r="F25" i="1"/>
  <c r="F41" i="1"/>
  <c r="F53" i="1"/>
  <c r="F72" i="1"/>
  <c r="F66" i="1"/>
  <c r="F78" i="1"/>
  <c r="F97" i="1"/>
  <c r="F112" i="1"/>
  <c r="F129" i="1"/>
  <c r="F142" i="1"/>
  <c r="E141" i="1"/>
  <c r="E140" i="1"/>
  <c r="E139" i="1"/>
  <c r="E138" i="1"/>
  <c r="E137" i="1"/>
  <c r="E136" i="1"/>
  <c r="E135" i="1"/>
  <c r="E134" i="1"/>
  <c r="E133" i="1"/>
  <c r="E132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1" i="1"/>
  <c r="E110" i="1"/>
  <c r="E109" i="1"/>
  <c r="E108" i="1"/>
  <c r="E107" i="1"/>
  <c r="E106" i="1"/>
  <c r="E105" i="1"/>
  <c r="E104" i="1"/>
  <c r="E103" i="1"/>
  <c r="E102" i="1"/>
  <c r="E101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77" i="1"/>
  <c r="E76" i="1"/>
  <c r="E75" i="1"/>
  <c r="E71" i="1"/>
  <c r="E70" i="1"/>
  <c r="E69" i="1"/>
  <c r="E65" i="1"/>
  <c r="E64" i="1"/>
  <c r="E63" i="1"/>
  <c r="E62" i="1"/>
  <c r="E61" i="1"/>
  <c r="E60" i="1"/>
  <c r="E59" i="1"/>
  <c r="E58" i="1"/>
  <c r="E57" i="1"/>
  <c r="E56" i="1"/>
  <c r="E52" i="1"/>
  <c r="E51" i="1"/>
  <c r="E50" i="1"/>
  <c r="E49" i="1"/>
  <c r="E48" i="1"/>
  <c r="E47" i="1"/>
  <c r="E46" i="1"/>
  <c r="E45" i="1"/>
  <c r="E44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4" i="1"/>
  <c r="E23" i="1"/>
  <c r="E22" i="1"/>
  <c r="E21" i="1"/>
  <c r="E20" i="1"/>
  <c r="E19" i="1"/>
  <c r="E18" i="1"/>
  <c r="E17" i="1"/>
  <c r="E13" i="1"/>
  <c r="E12" i="1"/>
  <c r="E11" i="1"/>
  <c r="E10" i="1"/>
  <c r="E9" i="1"/>
  <c r="E8" i="1"/>
  <c r="E7" i="1"/>
  <c r="E6" i="1"/>
  <c r="E5" i="1"/>
  <c r="E4" i="1"/>
  <c r="H83" i="5" l="1"/>
  <c r="J7" i="5"/>
  <c r="K5" i="5"/>
  <c r="Q55" i="2"/>
  <c r="G233" i="4"/>
  <c r="H233" i="4" s="1"/>
  <c r="I233" i="4" s="1"/>
  <c r="K233" i="4" s="1"/>
  <c r="G14" i="1"/>
  <c r="G97" i="1"/>
  <c r="G129" i="1"/>
  <c r="G142" i="1"/>
  <c r="G144" i="1" s="1"/>
  <c r="G179" i="1" s="1"/>
  <c r="G72" i="1"/>
  <c r="G112" i="1"/>
  <c r="E177" i="1"/>
  <c r="G53" i="1"/>
  <c r="G66" i="1"/>
  <c r="G177" i="1"/>
  <c r="G233" i="5" l="1"/>
  <c r="I233" i="5" s="1"/>
  <c r="D235" i="5"/>
  <c r="E235" i="5" s="1"/>
</calcChain>
</file>

<file path=xl/sharedStrings.xml><?xml version="1.0" encoding="utf-8"?>
<sst xmlns="http://schemas.openxmlformats.org/spreadsheetml/2006/main" count="1455" uniqueCount="691">
  <si>
    <t>NOTA DAVID TIMOR LESTE</t>
  </si>
  <si>
    <t>DOS 1</t>
  </si>
  <si>
    <t>NO</t>
  </si>
  <si>
    <t>NAMA BARANG</t>
  </si>
  <si>
    <t>QTY</t>
  </si>
  <si>
    <t>HARGA</t>
  </si>
  <si>
    <t>JUMLAH</t>
  </si>
  <si>
    <t>AS SHOCK GIGATRON REVO ABS</t>
  </si>
  <si>
    <t>AS SHOCK GIGATRON SUPRA X125</t>
  </si>
  <si>
    <t>AS SHOCK GIGATRON BEAT</t>
  </si>
  <si>
    <t>BEARING ASPIRA 6004</t>
  </si>
  <si>
    <t>BEARING ASPIRA 6203</t>
  </si>
  <si>
    <t>BEARING ASPIRA 6201</t>
  </si>
  <si>
    <t>KARET TENSIONER RDP VIXION 2013</t>
  </si>
  <si>
    <t>KARET TENISONER RDP VIXION 2019</t>
  </si>
  <si>
    <t>RUMAH ROLLER GIGATRON VARIO 125</t>
  </si>
  <si>
    <t>KOIL RDP BEAT FI</t>
  </si>
  <si>
    <t>DOS 2</t>
  </si>
  <si>
    <t>FILTER UDARA ASPIRA KZR</t>
  </si>
  <si>
    <t>FILTER UDARA ASPIRA K16</t>
  </si>
  <si>
    <t>FILTER UDARA ASPIRA KOJ</t>
  </si>
  <si>
    <t>ROTAK KIMORO BEAT ESP</t>
  </si>
  <si>
    <t>ROTAK KIMORO VARIO 150</t>
  </si>
  <si>
    <t>ROTAK KIMORO BEAT FI</t>
  </si>
  <si>
    <t>RUMAH ROLLER GIGATRON BEAT</t>
  </si>
  <si>
    <t>RUMAH ROLLER GIGATRON BEAT POP</t>
  </si>
  <si>
    <t>DOS 3</t>
  </si>
  <si>
    <t>NOKEN AS GOMEXX BEAT STREET ESP</t>
  </si>
  <si>
    <t xml:space="preserve">NOKEN AS GOMEXX BEAT   </t>
  </si>
  <si>
    <t>NOKEN AS GOMEXX VARIO</t>
  </si>
  <si>
    <t>NOKEN AS GOMEMXX VARIO 150</t>
  </si>
  <si>
    <t>COMSTIR RTC SUPRA</t>
  </si>
  <si>
    <t>KUNCI KONTAK SET RTC BEAT</t>
  </si>
  <si>
    <t>PISTON KIT RTC VARIO 125 FI 0.50</t>
  </si>
  <si>
    <t>PISTON KIT FP-131P3-KWB-2200 OV 0.50</t>
  </si>
  <si>
    <t>PISTON KIT FP-131P3-KFV-2200 OV 0.50</t>
  </si>
  <si>
    <t>REGULATOR RTC VIXION</t>
  </si>
  <si>
    <t>REGULATOR RTC SUPRA X</t>
  </si>
  <si>
    <t>REGULATOR GOMEXX BEAT</t>
  </si>
  <si>
    <t>SEKRING TANCAP BESAR 15A</t>
  </si>
  <si>
    <t>DOS 4</t>
  </si>
  <si>
    <t>FILTER UDARA ASPIRA KVY</t>
  </si>
  <si>
    <t>FILTER UDARA ASPIRA KVB</t>
  </si>
  <si>
    <t>KLAKSON GOMEXX</t>
  </si>
  <si>
    <t>PAMPERS INJEKSI VARIO 125 FI</t>
  </si>
  <si>
    <t>PAMPERS INJEKSI VARIO 150</t>
  </si>
  <si>
    <t>INJEKTOR RTC VARIO 150</t>
  </si>
  <si>
    <t>KABEL KILOMETER GOMEXX BEAT</t>
  </si>
  <si>
    <t>KABEL GAS GOMEXX BEAT</t>
  </si>
  <si>
    <t>KABEL GAS GOMEXX BEAT POP (A)</t>
  </si>
  <si>
    <t>DOS 5</t>
  </si>
  <si>
    <t>PULLY BELAKANG ASSY FEDERAL BEAT KVY</t>
  </si>
  <si>
    <t>PULLY BELAKANG ASSY FEDERAL K35</t>
  </si>
  <si>
    <t>RUMAH ROLLER ASSY ASPIRA KVY</t>
  </si>
  <si>
    <t>RUMAH ROLLER ASSY ASPIRA GFM</t>
  </si>
  <si>
    <t>NOKEN AS ASPIRA KVY</t>
  </si>
  <si>
    <t>PISTON KIT ASPIRA KVB STD</t>
  </si>
  <si>
    <t>PISTON KIT ASPIRA GN5 STD</t>
  </si>
  <si>
    <t>BEARING PULLY ASPIRA KVY</t>
  </si>
  <si>
    <t>PISTON KIT ASPIRA KVY OV 0.50</t>
  </si>
  <si>
    <t>DOS 6</t>
  </si>
  <si>
    <t>DOS 7</t>
  </si>
  <si>
    <t>FILTER UDARA ASPIRA KZL</t>
  </si>
  <si>
    <t>DOS 8</t>
  </si>
  <si>
    <t>PISTON KIT + RING KNZ BEAT FI STD</t>
  </si>
  <si>
    <t>PISTON KIT + RING KNZ VARIO 125 STD</t>
  </si>
  <si>
    <t>PISTON KIT + RING KNZ GRAND STD</t>
  </si>
  <si>
    <t>PISTON KIT + RING KNZ GENIO STD</t>
  </si>
  <si>
    <t>PISTON KIT + RING KNZ GANIO OV 0.50</t>
  </si>
  <si>
    <t>ROLLER SET KNZ BEAT 11 GR</t>
  </si>
  <si>
    <t>ROLLER SET KNZ BEAT SCOOPY 12 GR</t>
  </si>
  <si>
    <t>ROLLER SET KNZ VARIO 125 16 GR</t>
  </si>
  <si>
    <t>KABEL GAS KNZ SCOOPY A</t>
  </si>
  <si>
    <t>KABEL GAS KNZ GENIO B</t>
  </si>
  <si>
    <t>KABEL REM KNZ SCOOPY FI</t>
  </si>
  <si>
    <t>KABEL REM KNZ BEAT FI</t>
  </si>
  <si>
    <t>KABEL REM KNZ GENIO BLK</t>
  </si>
  <si>
    <t>KABEL REM KNZ VARIO CBS</t>
  </si>
  <si>
    <t>KLEP SET KNZ BLADE</t>
  </si>
  <si>
    <t>KLEP SET KNZ SUPRA X125 HELM IN</t>
  </si>
  <si>
    <t>DOS 9</t>
  </si>
  <si>
    <t>RUMAH ROLLER ASSY KOJ</t>
  </si>
  <si>
    <t>KAMPAS GANDA KOPLING KWN</t>
  </si>
  <si>
    <t>KAMPAS GANDA KOPLING K44</t>
  </si>
  <si>
    <t>KAMPAS GANDA KOPLING KVY</t>
  </si>
  <si>
    <t>KAMPAS GANDA KOPLING K16</t>
  </si>
  <si>
    <t>LAKER PULLY KVB</t>
  </si>
  <si>
    <t>ROLLER HONDA BEAT KVB</t>
  </si>
  <si>
    <t>LAKER CVT KVB</t>
  </si>
  <si>
    <t>NOKEN AS TAKEHO VARIO 125</t>
  </si>
  <si>
    <t>KAMPAS GANDA TAKEHO KVY</t>
  </si>
  <si>
    <t>KLEP SET UNKIHO GENIO</t>
  </si>
  <si>
    <t>DOS 10</t>
  </si>
  <si>
    <t>AS SHOCK DEPAN VIXION</t>
  </si>
  <si>
    <t>ROLLER SET KVB</t>
  </si>
  <si>
    <t>KUNCI KONTAK ASSY POWER SUPRA X 125 INJ</t>
  </si>
  <si>
    <t>KUNCI KONTAK ASSY KINGWAY BEAT</t>
  </si>
  <si>
    <t>CYLINDER BLOCK BEAT FI KZL</t>
  </si>
  <si>
    <t>INJEKTOR RPS SUPRA X125 KPH</t>
  </si>
  <si>
    <t>INJKETOR HONDA K25</t>
  </si>
  <si>
    <t>INJEKTOR HONDA KOJ</t>
  </si>
  <si>
    <t>INJEKTOR HONDA BEAT POP FI</t>
  </si>
  <si>
    <t>TOP SET SHINZO GRAND</t>
  </si>
  <si>
    <t>TOP SET SKYWAY BEAT POP</t>
  </si>
  <si>
    <t>TOP SET SKYWAY GENIO</t>
  </si>
  <si>
    <t>TOP SET SKYWAY LEGENDA</t>
  </si>
  <si>
    <t>KLEP SET HONDA KVY</t>
  </si>
  <si>
    <t>DOS 11</t>
  </si>
  <si>
    <t>TOMBOL LAMPU GMC REVO ABS</t>
  </si>
  <si>
    <t>TOMBOL LAMPU GMC BEAT 3 TITIK</t>
  </si>
  <si>
    <t>SPION HONDA SILVER BEAT</t>
  </si>
  <si>
    <t xml:space="preserve">KLAKSON WILZ 12V </t>
  </si>
  <si>
    <t>RELLAY GMC 4 P</t>
  </si>
  <si>
    <t>ROTAK RTC GENIO</t>
  </si>
  <si>
    <t>TOP SET RTC BEAT</t>
  </si>
  <si>
    <t>TOP SET RTC VARIO 125 FI</t>
  </si>
  <si>
    <t>ALAT TAMBAL BAN TUBELESS HANSON</t>
  </si>
  <si>
    <t>harga jual</t>
  </si>
  <si>
    <t>total</t>
  </si>
  <si>
    <t>Total</t>
  </si>
  <si>
    <t>Cover Knalpot Beat Karbu FI Deluxo</t>
  </si>
  <si>
    <t>Piringan Cakram Disc Cakram Depan</t>
  </si>
  <si>
    <t xml:space="preserve">Piringan 190mm Piringan Cakram </t>
  </si>
  <si>
    <t>Kulit Jok Universal</t>
  </si>
  <si>
    <t>Promo Hungger beat old/New + Corongan</t>
  </si>
  <si>
    <t>lampu led Kedip pesawat RGB 7 Watt</t>
  </si>
  <si>
    <t>Sticker Striping Standar Motor</t>
  </si>
  <si>
    <t xml:space="preserve">Saklar Lampu 3 fungsi TEC dim </t>
  </si>
  <si>
    <t>Handgrip RCB orginal HG55 sarung</t>
  </si>
  <si>
    <t>set paket lampu stop RGB 36L</t>
  </si>
  <si>
    <t>new sarung dan klit jok karet</t>
  </si>
  <si>
    <t>2 PCS paket sepiner dan Vlocty</t>
  </si>
  <si>
    <t>cover Jok/Kulit Jok Catur</t>
  </si>
  <si>
    <t>kain jok Mbtech arvi</t>
  </si>
  <si>
    <t>spakbor depan supra 125 motif</t>
  </si>
  <si>
    <t>spakbor depan honda vario 125 /15</t>
  </si>
  <si>
    <t>bahan tebal 3MM, free baut</t>
  </si>
  <si>
    <t>COD selang Remp Depan Variasi</t>
  </si>
  <si>
    <t>Tombol Saklar Dim 3 Mode on</t>
  </si>
  <si>
    <t>Paket Lampu Sen sein Dajjal dan flat</t>
  </si>
  <si>
    <t xml:space="preserve">stoplamp led rgb 2 mode kedip </t>
  </si>
  <si>
    <t>cover baut universal dekorasi motor</t>
  </si>
  <si>
    <t>karet karpet motor vario, mio, beat</t>
  </si>
  <si>
    <t>keset karpet motor vario, mio beat scoopy</t>
  </si>
  <si>
    <t>kabel bintik AVSS 0.5 MM x 20M</t>
  </si>
  <si>
    <t>1 pasang handgrip sarung gass</t>
  </si>
  <si>
    <t>lampu led T10 jelly 6 LED mata</t>
  </si>
  <si>
    <t>Ayoto Stoplamp Crystal Rgb full</t>
  </si>
  <si>
    <t>1 set 4 pcs sein jelly plus stop rem</t>
  </si>
  <si>
    <t>4 harga 4 pcs T10 sen jelly kedip 6 L</t>
  </si>
  <si>
    <t>Harga Jual</t>
  </si>
  <si>
    <t>bahlon</t>
  </si>
  <si>
    <t>troka oli sell no gir</t>
  </si>
  <si>
    <t>seal</t>
  </si>
  <si>
    <t>starter</t>
  </si>
  <si>
    <t>bella</t>
  </si>
  <si>
    <t>laher 6001</t>
  </si>
  <si>
    <t>laher CVT</t>
  </si>
  <si>
    <t>SENSOR TPS</t>
  </si>
  <si>
    <t>INJEKTOR</t>
  </si>
  <si>
    <t>Baut Body</t>
  </si>
  <si>
    <t>busi</t>
  </si>
  <si>
    <t>filtru bensin</t>
  </si>
  <si>
    <t>Oli 0.8</t>
  </si>
  <si>
    <t>Klem</t>
  </si>
  <si>
    <t>naran</t>
  </si>
  <si>
    <t>Price</t>
  </si>
  <si>
    <t>Block</t>
  </si>
  <si>
    <t>seal klep</t>
  </si>
  <si>
    <t>lem</t>
  </si>
  <si>
    <t>carbon cleaner</t>
  </si>
  <si>
    <t>kampas ganda</t>
  </si>
  <si>
    <t>master rem</t>
  </si>
  <si>
    <t>seal oli ruma randa</t>
  </si>
  <si>
    <t>oli rem</t>
  </si>
  <si>
    <t>baut 2</t>
  </si>
  <si>
    <t>bella 1 dan lem 1</t>
  </si>
  <si>
    <t>sekrin</t>
  </si>
  <si>
    <t>tali korea</t>
  </si>
  <si>
    <t>troka oli</t>
  </si>
  <si>
    <t>Seal oli ganda</t>
  </si>
  <si>
    <t>switch rem</t>
  </si>
  <si>
    <t>troka saringan udara</t>
  </si>
  <si>
    <t>Oli gir</t>
  </si>
  <si>
    <t>baut body</t>
  </si>
  <si>
    <t>oli Yamaha</t>
  </si>
  <si>
    <t>oli shell</t>
  </si>
  <si>
    <t>pasang plat</t>
  </si>
  <si>
    <t>oli Shell</t>
  </si>
  <si>
    <t>troka ohi shell</t>
  </si>
  <si>
    <t>be radiator</t>
  </si>
  <si>
    <t>Troka Lampu rua</t>
  </si>
  <si>
    <t>sil Magnet</t>
  </si>
  <si>
    <t>Troka oli shell</t>
  </si>
  <si>
    <t>Anti bocor</t>
  </si>
  <si>
    <t>troka oli Gear</t>
  </si>
  <si>
    <t>troka laher oin</t>
  </si>
  <si>
    <t>rumah roller + Sil roller</t>
  </si>
  <si>
    <t xml:space="preserve">baut 2 pcs </t>
  </si>
  <si>
    <t>kampas kopling</t>
  </si>
  <si>
    <t>aki boot</t>
  </si>
  <si>
    <t>kampas rem</t>
  </si>
  <si>
    <t xml:space="preserve">oli shell boot </t>
  </si>
  <si>
    <t>baut</t>
  </si>
  <si>
    <t>pipu</t>
  </si>
  <si>
    <t>troka 1 set rumah roller</t>
  </si>
  <si>
    <t>Baut 4 no seal 1</t>
  </si>
  <si>
    <t>troka oli shell no oli gear</t>
  </si>
  <si>
    <t xml:space="preserve">lampu </t>
  </si>
  <si>
    <t>bella ulun</t>
  </si>
  <si>
    <t>laher 2</t>
  </si>
  <si>
    <t>lampu rem</t>
  </si>
  <si>
    <t>komi stir</t>
  </si>
  <si>
    <t>baut 1</t>
  </si>
  <si>
    <t>sekring 2</t>
  </si>
  <si>
    <t>batu</t>
  </si>
  <si>
    <t>baut 3</t>
  </si>
  <si>
    <t>kolter block</t>
  </si>
  <si>
    <t>switch rem oin</t>
  </si>
  <si>
    <t>Rolamentus 6203</t>
  </si>
  <si>
    <t>shell</t>
  </si>
  <si>
    <t>oli gir</t>
  </si>
  <si>
    <t>kampas rem kotuk</t>
  </si>
  <si>
    <t>kamardial</t>
  </si>
  <si>
    <t xml:space="preserve">anti bocor </t>
  </si>
  <si>
    <t>ban dalam</t>
  </si>
  <si>
    <t>bela</t>
  </si>
  <si>
    <t>kampas rem oin</t>
  </si>
  <si>
    <t xml:space="preserve">kampas kopling </t>
  </si>
  <si>
    <t>paking selinder</t>
  </si>
  <si>
    <t>sil dep vixion</t>
  </si>
  <si>
    <t>paking magnet</t>
  </si>
  <si>
    <t>paking kopling</t>
  </si>
  <si>
    <t>laher 600</t>
  </si>
  <si>
    <t>oli mesin</t>
  </si>
  <si>
    <t>baut oli</t>
  </si>
  <si>
    <t>press stan</t>
  </si>
  <si>
    <t>laher 6201</t>
  </si>
  <si>
    <t>laher 6301</t>
  </si>
  <si>
    <t>anti bocor</t>
  </si>
  <si>
    <t xml:space="preserve">baut body </t>
  </si>
  <si>
    <t>baut seling</t>
  </si>
  <si>
    <t>lem mesin</t>
  </si>
  <si>
    <t>sell klep</t>
  </si>
  <si>
    <t>block</t>
  </si>
  <si>
    <t>laher</t>
  </si>
  <si>
    <t>oli shok</t>
  </si>
  <si>
    <t>shell shock</t>
  </si>
  <si>
    <t>band dalam</t>
  </si>
  <si>
    <t>oli shell ho oli gir</t>
  </si>
  <si>
    <t>roller</t>
  </si>
  <si>
    <t>karet</t>
  </si>
  <si>
    <t>baut plat 2</t>
  </si>
  <si>
    <t xml:space="preserve">bella </t>
  </si>
  <si>
    <t>filter bensin</t>
  </si>
  <si>
    <t>lampu sen 2</t>
  </si>
  <si>
    <t xml:space="preserve">busi </t>
  </si>
  <si>
    <t>karet gas</t>
  </si>
  <si>
    <t>espelu</t>
  </si>
  <si>
    <t>lampu 2</t>
  </si>
  <si>
    <t>pear resin</t>
  </si>
  <si>
    <t xml:space="preserve">baut oli </t>
  </si>
  <si>
    <t>injektor</t>
  </si>
  <si>
    <t>sensor TPS</t>
  </si>
  <si>
    <t xml:space="preserve">baut </t>
  </si>
  <si>
    <t>seal ruma roller</t>
  </si>
  <si>
    <t>seal sock</t>
  </si>
  <si>
    <t>stok</t>
  </si>
  <si>
    <t>seal ruma ganda</t>
  </si>
  <si>
    <t>1 set block</t>
  </si>
  <si>
    <t>setuk</t>
  </si>
  <si>
    <t xml:space="preserve">kop busi </t>
  </si>
  <si>
    <t>tutupan kpas ho tutupan saringan udara</t>
  </si>
  <si>
    <t>ongkos</t>
  </si>
  <si>
    <t>Fulan Marsu 2026</t>
  </si>
  <si>
    <t>packet snaiper dan vlocty</t>
  </si>
  <si>
    <t xml:space="preserve">baut palat </t>
  </si>
  <si>
    <t>Pengeluaran</t>
  </si>
  <si>
    <t>Roller</t>
  </si>
  <si>
    <t>layar CVT</t>
  </si>
  <si>
    <t>karet Roller</t>
  </si>
  <si>
    <t>ASP bearing 6201 2 RS</t>
  </si>
  <si>
    <t>Diskon</t>
  </si>
  <si>
    <t>Harta satuan</t>
  </si>
  <si>
    <t>Qty</t>
  </si>
  <si>
    <t>Kamtahi Cylinder Blok kit beat B44</t>
  </si>
  <si>
    <t>Kamthai Clinder blok kit Genio KOJ</t>
  </si>
  <si>
    <t>M one gear paket Vixion Rider (43T-14T4228h-122L)</t>
  </si>
  <si>
    <t>Kamthai Rumah Roller Assy Beat K44 / Pulley set bet K44</t>
  </si>
  <si>
    <t>Kamthai Clinder blok kit Beat K44</t>
  </si>
  <si>
    <t>karet paking head</t>
  </si>
  <si>
    <t>Karet pulpang</t>
  </si>
  <si>
    <t xml:space="preserve">seal gardan </t>
  </si>
  <si>
    <t>seal roller</t>
  </si>
  <si>
    <t>Seal klep no seal roller</t>
  </si>
  <si>
    <t>Rumah ganda</t>
  </si>
  <si>
    <t>Kawat las</t>
  </si>
  <si>
    <t>oli sell biru</t>
  </si>
  <si>
    <t xml:space="preserve">laher </t>
  </si>
  <si>
    <t>isolasi</t>
  </si>
  <si>
    <t>korter blok</t>
  </si>
  <si>
    <t>Hola sasan motor vixion</t>
  </si>
  <si>
    <t>Aniku ba rejistu</t>
  </si>
  <si>
    <t>Hahan + be hemu</t>
  </si>
  <si>
    <t>total ongkos</t>
  </si>
  <si>
    <t>Total Sasan</t>
  </si>
  <si>
    <t>total pengeluaran</t>
  </si>
  <si>
    <t>Total kotor</t>
  </si>
  <si>
    <t>Total Bersih</t>
  </si>
  <si>
    <t>total Persen ongkos</t>
  </si>
  <si>
    <t>abos</t>
  </si>
  <si>
    <t>anata</t>
  </si>
  <si>
    <t>%</t>
  </si>
  <si>
    <t>bersih ongkos</t>
  </si>
  <si>
    <t>ongkos bersih</t>
  </si>
  <si>
    <t>Mekanik</t>
  </si>
  <si>
    <t>Aniku</t>
  </si>
  <si>
    <t>Fulan</t>
  </si>
  <si>
    <t>Rendimentu kotor</t>
  </si>
  <si>
    <t>Fevereiru</t>
  </si>
  <si>
    <t>Marsu</t>
  </si>
  <si>
    <t>Abril</t>
  </si>
  <si>
    <t>Maiu</t>
  </si>
  <si>
    <t>Junu</t>
  </si>
  <si>
    <t>Julho</t>
  </si>
  <si>
    <t>Augustu</t>
  </si>
  <si>
    <t>Setembru</t>
  </si>
  <si>
    <t>outubru</t>
  </si>
  <si>
    <t>Novembru</t>
  </si>
  <si>
    <t>Dezembru</t>
  </si>
  <si>
    <t>Rendimentu Bersih</t>
  </si>
  <si>
    <t>Salariu</t>
  </si>
  <si>
    <t>Ongkos</t>
  </si>
  <si>
    <t>Persen</t>
  </si>
  <si>
    <t>Bersih ongkos</t>
  </si>
  <si>
    <t>saldo</t>
  </si>
  <si>
    <t>Uang Kas</t>
  </si>
  <si>
    <t>Bersih</t>
  </si>
  <si>
    <t>Total bersih</t>
  </si>
  <si>
    <t xml:space="preserve">Total </t>
  </si>
  <si>
    <t>Anata</t>
  </si>
  <si>
    <t>Grand Total</t>
  </si>
  <si>
    <t>Description</t>
  </si>
  <si>
    <t>Oli Shell</t>
  </si>
  <si>
    <t>laher 6202</t>
  </si>
  <si>
    <t>laher 6203</t>
  </si>
  <si>
    <t>sarung gas</t>
  </si>
  <si>
    <t>kabel bode 2 meter</t>
  </si>
  <si>
    <t>baut plat</t>
  </si>
  <si>
    <t>oli shell + oli gir</t>
  </si>
  <si>
    <t>oli yamaha</t>
  </si>
  <si>
    <t>oli kiik</t>
  </si>
  <si>
    <t>laher 6204</t>
  </si>
  <si>
    <t>Mur</t>
  </si>
  <si>
    <t>baut 4 biji</t>
  </si>
  <si>
    <t>oli shel</t>
  </si>
  <si>
    <t>blok</t>
  </si>
  <si>
    <t>shell klep</t>
  </si>
  <si>
    <t>lem besi</t>
  </si>
  <si>
    <t>karsin klem</t>
  </si>
  <si>
    <t>bensi 1 liter</t>
  </si>
  <si>
    <t>tali bela</t>
  </si>
  <si>
    <t xml:space="preserve">lampu rem </t>
  </si>
  <si>
    <t>oli sehll</t>
  </si>
  <si>
    <t>oil sehll biru</t>
  </si>
  <si>
    <t xml:space="preserve">blok </t>
  </si>
  <si>
    <t xml:space="preserve">paking </t>
  </si>
  <si>
    <t>bang dalam</t>
  </si>
  <si>
    <t>pipu radial</t>
  </si>
  <si>
    <t>bela ulun</t>
  </si>
  <si>
    <t>shell 1 paket</t>
  </si>
  <si>
    <t>laher bambu</t>
  </si>
  <si>
    <t>ganti kontak</t>
  </si>
  <si>
    <t xml:space="preserve">bela </t>
  </si>
  <si>
    <t>filter bensi</t>
  </si>
  <si>
    <t>stel korenti</t>
  </si>
  <si>
    <t>baut bode</t>
  </si>
  <si>
    <t>korenti kiik</t>
  </si>
  <si>
    <t>stell korenti</t>
  </si>
  <si>
    <t>laher cvt</t>
  </si>
  <si>
    <t>cakram</t>
  </si>
  <si>
    <t>kampar rem</t>
  </si>
  <si>
    <t>troka oli shell</t>
  </si>
  <si>
    <t>spelu</t>
  </si>
  <si>
    <t>kampar rem oin</t>
  </si>
  <si>
    <t>lampu kotuk fariasi</t>
  </si>
  <si>
    <t>lampu kiik</t>
  </si>
  <si>
    <t>aki</t>
  </si>
  <si>
    <t xml:space="preserve">lem </t>
  </si>
  <si>
    <t>karbun klear</t>
  </si>
  <si>
    <t>karet pomba</t>
  </si>
  <si>
    <t>kop busi</t>
  </si>
  <si>
    <t>kampas rem kopling</t>
  </si>
  <si>
    <t>bearing 6201</t>
  </si>
  <si>
    <t>bearing 6301</t>
  </si>
  <si>
    <t>bearing 6203</t>
  </si>
  <si>
    <t>troka ban dalam</t>
  </si>
  <si>
    <t>karet pul pam</t>
  </si>
  <si>
    <t>baut 4</t>
  </si>
  <si>
    <t xml:space="preserve">lampu oin </t>
  </si>
  <si>
    <t>oli 1 litter</t>
  </si>
  <si>
    <t>karbung klear</t>
  </si>
  <si>
    <t>filter udara</t>
  </si>
  <si>
    <t>saringa fulpam</t>
  </si>
  <si>
    <t xml:space="preserve">kampas rem </t>
  </si>
  <si>
    <t>kampas oin</t>
  </si>
  <si>
    <t>shell as</t>
  </si>
  <si>
    <t>bearing 6302</t>
  </si>
  <si>
    <t>kampar rem oin kotuk</t>
  </si>
  <si>
    <t xml:space="preserve">oli yamaha </t>
  </si>
  <si>
    <t>rolamentus 6201</t>
  </si>
  <si>
    <t xml:space="preserve">pipu </t>
  </si>
  <si>
    <t>oli gir + oli shell</t>
  </si>
  <si>
    <t>service kampas kopling</t>
  </si>
  <si>
    <t>seal as</t>
  </si>
  <si>
    <t>bearing 6204</t>
  </si>
  <si>
    <t>tali rem</t>
  </si>
  <si>
    <t>benber</t>
  </si>
  <si>
    <t>roller fariasi</t>
  </si>
  <si>
    <t>blok 1 pakek</t>
  </si>
  <si>
    <t>lem mesing</t>
  </si>
  <si>
    <t>baut tutup net</t>
  </si>
  <si>
    <t xml:space="preserve">baut 10 </t>
  </si>
  <si>
    <t>baut body 3</t>
  </si>
  <si>
    <t>tombol on off</t>
  </si>
  <si>
    <t>kabel lampu</t>
  </si>
  <si>
    <t>master rm</t>
  </si>
  <si>
    <t>lampu</t>
  </si>
  <si>
    <t>klakson</t>
  </si>
  <si>
    <t>swich rem</t>
  </si>
  <si>
    <t>holder on off</t>
  </si>
  <si>
    <t xml:space="preserve">troka kampas </t>
  </si>
  <si>
    <t>blok sp</t>
  </si>
  <si>
    <t xml:space="preserve">payung klep </t>
  </si>
  <si>
    <t>top busi</t>
  </si>
  <si>
    <t>karet trombol</t>
  </si>
  <si>
    <t>laher roda oin</t>
  </si>
  <si>
    <t>shell as karuk</t>
  </si>
  <si>
    <t>kabel 1/2 meter</t>
  </si>
  <si>
    <t>karung cliner</t>
  </si>
  <si>
    <t>blok koj</t>
  </si>
  <si>
    <t>bos klep</t>
  </si>
  <si>
    <t>oli boot</t>
  </si>
  <si>
    <t>oli boot + kiik</t>
  </si>
  <si>
    <t>bering 6201</t>
  </si>
  <si>
    <t>vembel</t>
  </si>
  <si>
    <t>bering bambu</t>
  </si>
  <si>
    <t>bearing cvt</t>
  </si>
  <si>
    <t>kabel sensor</t>
  </si>
  <si>
    <t>baut palt</t>
  </si>
  <si>
    <t xml:space="preserve">bahlon </t>
  </si>
  <si>
    <t xml:space="preserve">rellay </t>
  </si>
  <si>
    <t>0li sell 0.8</t>
  </si>
  <si>
    <t>seal shock</t>
  </si>
  <si>
    <t>oli shock</t>
  </si>
  <si>
    <t>spion</t>
  </si>
  <si>
    <t xml:space="preserve">truka bella </t>
  </si>
  <si>
    <t>cek kampas koplin</t>
  </si>
  <si>
    <t>spelhu</t>
  </si>
  <si>
    <t xml:space="preserve">oli rem </t>
  </si>
  <si>
    <t>oli sell</t>
  </si>
  <si>
    <t>carbo cleaner</t>
  </si>
  <si>
    <t>save kontak</t>
  </si>
  <si>
    <t>gir set</t>
  </si>
  <si>
    <t xml:space="preserve">kampas rem kotuk </t>
  </si>
  <si>
    <t>stell bulanti</t>
  </si>
  <si>
    <t>bandalan</t>
  </si>
  <si>
    <t>las kenalpot</t>
  </si>
  <si>
    <t>Fulan Abril 2026</t>
  </si>
  <si>
    <t>Abosa</t>
  </si>
  <si>
    <t>No</t>
  </si>
  <si>
    <t>Nama Barang</t>
  </si>
  <si>
    <t>ONHAND</t>
  </si>
  <si>
    <t>Harga Jual (Rp)</t>
  </si>
  <si>
    <t>Nilai Total (Rp)</t>
  </si>
  <si>
    <t>BOHLAM DPN HALOGEN H3 12V/100W BLUE (RTC)</t>
  </si>
  <si>
    <t>KAMPAS GANDA KOP ONLY MIO J 54P (RDP)</t>
  </si>
  <si>
    <t>KAMPAS GANDA KOP ONLY BEAT POP K44 (RDP)</t>
  </si>
  <si>
    <t>BOHLAM DPN HALOGEN H4 12V/35W (RTC)</t>
  </si>
  <si>
    <t>BOHLAM DPN K1 T19 12V/35W (RDP)</t>
  </si>
  <si>
    <t>BOHLAM DPN HALOGEN K1 12V/35W (RDP)</t>
  </si>
  <si>
    <t>KIPROK VARIO/BEAT (RTC)</t>
  </si>
  <si>
    <t>SHOCK DPN ONLY VARIO 125 F1/BEAT F1 (RTC)</t>
  </si>
  <si>
    <t>KAMPAS GANDA KOP ASSY MIO J 54P (RDP)</t>
  </si>
  <si>
    <t>KAMPAS GANDA KOP ASSY VARIO 125 F1 K2R (RDP)</t>
  </si>
  <si>
    <t>CDI UNIT ASSY VARIO (RTC)</t>
  </si>
  <si>
    <t>BOHLAM DPN HALOGEN H3 12V 100W (RDP)</t>
  </si>
  <si>
    <t>CDI UNIT ASSY JUPITER MX (RTC)</t>
  </si>
  <si>
    <t>SHOCK BLK SUPRA FIT NEW BLACK (RTC)</t>
  </si>
  <si>
    <t>KAMPAS GANDA KOP ASSY GRAND (RTC)</t>
  </si>
  <si>
    <t>RING PISTON ONLY GRAND/REVO 0.00 STD (RTC)</t>
  </si>
  <si>
    <t>KAMPAS GANDA KOP ASSY MIO M3 (RDP)</t>
  </si>
  <si>
    <t>BOHLAM DPN STD T19 12V-35-35W (RTC)</t>
  </si>
  <si>
    <t>KIPROK SUPRA X (RTC)</t>
  </si>
  <si>
    <t>PISTON KIT SUPRA X 125 F1 0.00 STD (RTC)</t>
  </si>
  <si>
    <t>RING PISTON ONLY JUPITER Z 0.00 STD (RTC)</t>
  </si>
  <si>
    <t>KAMPAS GANDA KOP ASSY N MAX 2DP (RDP)</t>
  </si>
  <si>
    <t>PISTON KIT MIO 0.00 STD (RTC)</t>
  </si>
  <si>
    <t>PISTON KIT MIO M3 0.00 STD (RTC)</t>
  </si>
  <si>
    <t>CDI UNIT ASSY BEAT (RTC)</t>
  </si>
  <si>
    <t>SHOCK BLK KLX150 (RTC)</t>
  </si>
  <si>
    <t>PISTON KIT GRAND 0.00 STD (RTC)</t>
  </si>
  <si>
    <t>SHOCK DPN ONLY BEAT F1 (RDP)</t>
  </si>
  <si>
    <t>KABEL REM VARIO 110 (RTC)</t>
  </si>
  <si>
    <t>PISTON KIT KARISMA 0.00 STD (RTC)</t>
  </si>
  <si>
    <t>RING PISTON ONLY KARISMA 0.00 STD (RTC)</t>
  </si>
  <si>
    <t>RING PISTON ONLY BEAT 0.00 STD (RTC)</t>
  </si>
  <si>
    <t>PISTON KIT BLADE 0.00 STD (RTC)</t>
  </si>
  <si>
    <t>PISTON KIT SATRIA FU 150 0.00 STD (RTC)</t>
  </si>
  <si>
    <t>PISTON KIT VEGA ZR 0.00 STD (RTC)</t>
  </si>
  <si>
    <t>RING PISTON ONLY MIO 0.00 STD (RTC)</t>
  </si>
  <si>
    <t>PISTON KIT VARIO 125 INJ 0.00 STD (RTC)</t>
  </si>
  <si>
    <t>PISTON KIT SUPRA FIT NEW 0.00 STD (RTC)</t>
  </si>
  <si>
    <t>SHOCK BLK BEAT (RTC)</t>
  </si>
  <si>
    <t>CDI UNIT ASSY MIO SPORTY/SOUL (RTC)</t>
  </si>
  <si>
    <t>KIPROK RXKING NEW (RTC)</t>
  </si>
  <si>
    <t>CDI UNIT ASSY SUPRA/GRAND (RTC)</t>
  </si>
  <si>
    <t>PISTON KIT BEAT F1 0.00 STD (RTC)</t>
  </si>
  <si>
    <t>PISTON KIT BEAT F1 0.25 (RTC)</t>
  </si>
  <si>
    <t>PISTON KIT BEAT 0.00 STD (RTC)</t>
  </si>
  <si>
    <t>PISTON KIT GRAND 0.25 (RTC)</t>
  </si>
  <si>
    <t>PISTON KIT MIO J 0.00 STD (RTC)</t>
  </si>
  <si>
    <t>PISTON KIT VARIO 110 0.00 STD (RTC)</t>
  </si>
  <si>
    <t>PISTON KIT VEGA ZR 0.25 (RTC)</t>
  </si>
  <si>
    <t>KABEL GAS VARIO (RTC)</t>
  </si>
  <si>
    <t>KABEL GAS MIO J (RTC)</t>
  </si>
  <si>
    <t>KABEL GAS N MAX (RTC)</t>
  </si>
  <si>
    <t>KABEL GAS BEAT F1/SCOOPY F1 (RTC)</t>
  </si>
  <si>
    <t>KABEL REM BEAT (RTC)</t>
  </si>
  <si>
    <t>KABEL REM MIO (RTC)</t>
  </si>
  <si>
    <t>SEAL SHOCK RX KING (A)</t>
  </si>
  <si>
    <t>SEAL SHOCK TUTUP ABU KLX 150 (PLS)</t>
  </si>
  <si>
    <t>BOHLAM SEN T13-12V 10W BLUE (RDP)</t>
  </si>
  <si>
    <t>BOHLAM SEN T13-12V 10W RED (RDP)</t>
  </si>
  <si>
    <t>BOHLAM STOP S25 12V 21/5W (RTC)</t>
  </si>
  <si>
    <t>Fulan Maio 2026</t>
  </si>
  <si>
    <t>Cover Kenalpot</t>
  </si>
  <si>
    <t>Zin</t>
  </si>
  <si>
    <t>trokak oli</t>
  </si>
  <si>
    <t>Gir set</t>
  </si>
  <si>
    <t>Oli shell</t>
  </si>
  <si>
    <t>carbon cliner</t>
  </si>
  <si>
    <t>injector</t>
  </si>
  <si>
    <t>kit prot</t>
  </si>
  <si>
    <t>akiik kiik</t>
  </si>
  <si>
    <t>carbo cliener</t>
  </si>
  <si>
    <t>cover tolan air</t>
  </si>
  <si>
    <t>kornti kiik</t>
  </si>
  <si>
    <t>paking tapung As</t>
  </si>
  <si>
    <t>oli boot 1 litter</t>
  </si>
  <si>
    <t>swhitch lampu rem</t>
  </si>
  <si>
    <t>skring 2</t>
  </si>
  <si>
    <t>karbun clinear</t>
  </si>
  <si>
    <t>klep busi</t>
  </si>
  <si>
    <t>kampu rem kotuk</t>
  </si>
  <si>
    <t>lampu farsiasi</t>
  </si>
  <si>
    <t>tombol beat</t>
  </si>
  <si>
    <t xml:space="preserve">aki </t>
  </si>
  <si>
    <t>water pam</t>
  </si>
  <si>
    <t>oi shell</t>
  </si>
  <si>
    <t xml:space="preserve">bam dalam </t>
  </si>
  <si>
    <t>seal shok</t>
  </si>
  <si>
    <t>pipo radial</t>
  </si>
  <si>
    <t>sheall klep</t>
  </si>
  <si>
    <t>payung klep</t>
  </si>
  <si>
    <t>oli shel ho gardan</t>
  </si>
  <si>
    <t>oli kiik no boot</t>
  </si>
  <si>
    <t>troka radial</t>
  </si>
  <si>
    <t>oli korenti kiik</t>
  </si>
  <si>
    <t>karbun clinear ho baut</t>
  </si>
  <si>
    <t>Oli shell ho oli kiik</t>
  </si>
  <si>
    <t>troka oli kiik</t>
  </si>
  <si>
    <t>oli tem</t>
  </si>
  <si>
    <t>saklar lampu boot</t>
  </si>
  <si>
    <t>koper kenallpot</t>
  </si>
  <si>
    <t>korenki kiik ho stok</t>
  </si>
  <si>
    <t>kampas gardan oli shell</t>
  </si>
  <si>
    <t>oli gardan repsol kiik</t>
  </si>
  <si>
    <t>troka pipu radial</t>
  </si>
  <si>
    <t>radia</t>
  </si>
  <si>
    <t>oli boot shell</t>
  </si>
  <si>
    <t>rumah roller</t>
  </si>
  <si>
    <t>kampas gardan</t>
  </si>
  <si>
    <t>lem stok korenti kiik</t>
  </si>
  <si>
    <t>kampas ho oli kiik</t>
  </si>
  <si>
    <t>troka oli kiik no boot</t>
  </si>
  <si>
    <t xml:space="preserve">troka laher 6201 2 </t>
  </si>
  <si>
    <t xml:space="preserve">radial </t>
  </si>
  <si>
    <t>troka gir</t>
  </si>
  <si>
    <t>oli shell 1 litter</t>
  </si>
  <si>
    <t>shel klep</t>
  </si>
  <si>
    <t>oli sheall no gardan</t>
  </si>
  <si>
    <t>blok k44</t>
  </si>
  <si>
    <t xml:space="preserve">kampa rem oin </t>
  </si>
  <si>
    <t>rem mesin</t>
  </si>
  <si>
    <t>bering 2</t>
  </si>
  <si>
    <t>troka shell biru</t>
  </si>
  <si>
    <t>paket gir</t>
  </si>
  <si>
    <t>kampa rem kotuk</t>
  </si>
  <si>
    <t>layer 6204</t>
  </si>
  <si>
    <t>kampa ganda</t>
  </si>
  <si>
    <t>ganti roda kotuk oin</t>
  </si>
  <si>
    <t>pipo rua</t>
  </si>
  <si>
    <t>oli gardan</t>
  </si>
  <si>
    <t>Oli shell biru</t>
  </si>
  <si>
    <t>sarung gas no handel fariasi</t>
  </si>
  <si>
    <t>tiru radial</t>
  </si>
  <si>
    <t>blok Vixon</t>
  </si>
  <si>
    <t>Anana</t>
  </si>
  <si>
    <t>Dora</t>
  </si>
  <si>
    <t>Band Dalam</t>
  </si>
  <si>
    <t>oli shell 0.8</t>
  </si>
  <si>
    <t>lampu rem fariasi</t>
  </si>
  <si>
    <t>tambal ban</t>
  </si>
  <si>
    <t>layer</t>
  </si>
  <si>
    <t>vandocom</t>
  </si>
  <si>
    <t>rollamentus 6302</t>
  </si>
  <si>
    <t>layer stir</t>
  </si>
  <si>
    <t>oli mesin 0.8</t>
  </si>
  <si>
    <t>balun / lampu boot</t>
  </si>
  <si>
    <t>oli shell 0.8 oli gir</t>
  </si>
  <si>
    <t>kampas rem oin ho baut palt</t>
  </si>
  <si>
    <t>layer depan 2</t>
  </si>
  <si>
    <t>layer cvt</t>
  </si>
  <si>
    <t>busi yamaha</t>
  </si>
  <si>
    <t>radial</t>
  </si>
  <si>
    <t>Pipu radial</t>
  </si>
  <si>
    <t>shell crus</t>
  </si>
  <si>
    <t>kawat roller</t>
  </si>
  <si>
    <t>karbun cliner</t>
  </si>
  <si>
    <t>kampas rem bekas</t>
  </si>
  <si>
    <t>baut 12</t>
  </si>
  <si>
    <t>oli shell ho oli garden</t>
  </si>
  <si>
    <t>master rem ho oli rem</t>
  </si>
  <si>
    <t>oli shel oli garden</t>
  </si>
  <si>
    <t>karete kambota roller</t>
  </si>
  <si>
    <t>layer 1 set kampas garden</t>
  </si>
  <si>
    <t>troka oli 0.8 oli garden</t>
  </si>
  <si>
    <t>layer 6301</t>
  </si>
  <si>
    <t>blok revo</t>
  </si>
  <si>
    <t>oli biru shell</t>
  </si>
  <si>
    <t>sheal as rumah roller</t>
  </si>
  <si>
    <t>espiun beat Esp</t>
  </si>
  <si>
    <t>tutupan fariasi</t>
  </si>
  <si>
    <t>trok shell shok oin</t>
  </si>
  <si>
    <t>troka oli mesin 0.8</t>
  </si>
  <si>
    <t>blok mesin Koj</t>
  </si>
  <si>
    <t>busi bella</t>
  </si>
  <si>
    <t xml:space="preserve">oli shell </t>
  </si>
  <si>
    <t>vario vendor</t>
  </si>
  <si>
    <t>oli shel 0.8</t>
  </si>
  <si>
    <t>master rem oli rem</t>
  </si>
  <si>
    <t>oli shel 0.8 oli gir</t>
  </si>
  <si>
    <t>kabel ho baut</t>
  </si>
  <si>
    <t>karet trombol revo fit</t>
  </si>
  <si>
    <t xml:space="preserve">oli shell 0.8 </t>
  </si>
  <si>
    <t>ruma roller oli mesin 0.8</t>
  </si>
  <si>
    <t>troka kampas kotuk ho busi</t>
  </si>
  <si>
    <t>shell magnet kiik</t>
  </si>
  <si>
    <t>karet roller</t>
  </si>
  <si>
    <t>karet pull</t>
  </si>
  <si>
    <t>layer gir</t>
  </si>
  <si>
    <t>oli gir gampar</t>
  </si>
  <si>
    <t>oli shell 0.8 oi gardan</t>
  </si>
  <si>
    <t>oli shok shell shok</t>
  </si>
  <si>
    <t>troka karet roller oli garden</t>
  </si>
  <si>
    <t>karet shell</t>
  </si>
  <si>
    <t>ruma roller aspira</t>
  </si>
  <si>
    <t>oli shell 0.8 ho oi gir</t>
  </si>
  <si>
    <t>sensor tps</t>
  </si>
  <si>
    <t>buat body</t>
  </si>
  <si>
    <t>laher 6201, 6301</t>
  </si>
  <si>
    <t>karet kopling megapro</t>
  </si>
  <si>
    <t>kabel kopling vision</t>
  </si>
  <si>
    <t>bau body</t>
  </si>
  <si>
    <t>tambal bang</t>
  </si>
  <si>
    <t xml:space="preserve">trok shell kruk as </t>
  </si>
  <si>
    <t>oli mesin ho oli gardan</t>
  </si>
  <si>
    <t>troka kampas rem kotuk</t>
  </si>
  <si>
    <t>oli yamaha 0.8</t>
  </si>
  <si>
    <t>laher oin</t>
  </si>
  <si>
    <t>kampas rem ho pipu shok kenal pot piringan cakram</t>
  </si>
  <si>
    <t>beat ESP</t>
  </si>
  <si>
    <t>troka bella</t>
  </si>
  <si>
    <t>oli boot no oli kiik</t>
  </si>
  <si>
    <t>troka kontak beat</t>
  </si>
  <si>
    <t>stuck motor koj</t>
  </si>
  <si>
    <t>troka ban dalam kotuk</t>
  </si>
  <si>
    <t>zin</t>
  </si>
  <si>
    <t>nata</t>
  </si>
  <si>
    <t>Relay Lampu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</si>
</sst>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164" formatCode="_-&quot;Rp&quot;* #,##0_-;\-&quot;Rp&quot;* #,##0_-;_-&quot;Rp&quot;* &quot;-&quot;??_-;_-@_-"/>
    <numFmt numFmtId="165" formatCode="_([$$-409]* #,##0.00_);_([$$-409]* \(#,##0.00\);_([$$-409]* &quot;-&quot;??_);_(@_)"/>
    <numFmt numFmtId="166" formatCode="_([$IDR]\ * #,##0_);_([$IDR]\ * \(#,##0\);_([$IDR]\ * &quot;-&quot;_);_(@_)"/>
  </numFmts>
  <fonts count="20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  <charset val="1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sz val="18"/>
      <color rgb="FFFF0000"/>
      <name val="Calibri"/>
      <family val="2"/>
      <charset val="1"/>
      <scheme val="minor"/>
    </font>
    <font>
      <sz val="20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0" xfId="0" applyNumberFormat="1"/>
    <xf numFmtId="0" fontId="1" fillId="0" borderId="3" xfId="0" applyFont="1" applyBorder="1" applyAlignment="1">
      <alignment horizontal="center" vertical="center"/>
    </xf>
    <xf numFmtId="165" fontId="1" fillId="0" borderId="0" xfId="0" applyNumberFormat="1" applyFont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165" fontId="0" fillId="4" borderId="0" xfId="0" applyNumberFormat="1" applyFill="1"/>
    <xf numFmtId="0" fontId="0" fillId="3" borderId="1" xfId="0" applyFill="1" applyBorder="1"/>
    <xf numFmtId="164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/>
    <xf numFmtId="165" fontId="1" fillId="0" borderId="1" xfId="0" applyNumberFormat="1" applyFont="1" applyBorder="1"/>
    <xf numFmtId="165" fontId="0" fillId="3" borderId="1" xfId="0" applyNumberFormat="1" applyFill="1" applyBorder="1"/>
    <xf numFmtId="166" fontId="0" fillId="0" borderId="1" xfId="0" applyNumberFormat="1" applyBorder="1"/>
    <xf numFmtId="166" fontId="0" fillId="3" borderId="1" xfId="0" applyNumberFormat="1" applyFill="1" applyBorder="1"/>
    <xf numFmtId="166" fontId="0" fillId="0" borderId="1" xfId="1" applyNumberFormat="1" applyFont="1" applyBorder="1"/>
    <xf numFmtId="165" fontId="0" fillId="2" borderId="1" xfId="0" applyNumberFormat="1" applyFill="1" applyBorder="1"/>
    <xf numFmtId="165" fontId="0" fillId="2" borderId="0" xfId="0" applyNumberFormat="1" applyFill="1"/>
    <xf numFmtId="0" fontId="1" fillId="0" borderId="0" xfId="0" applyFont="1"/>
    <xf numFmtId="165" fontId="0" fillId="0" borderId="0" xfId="1" applyNumberFormat="1" applyFont="1"/>
    <xf numFmtId="0" fontId="6" fillId="0" borderId="1" xfId="0" applyFont="1" applyBorder="1"/>
    <xf numFmtId="165" fontId="6" fillId="0" borderId="1" xfId="0" applyNumberFormat="1" applyFont="1" applyBorder="1"/>
    <xf numFmtId="165" fontId="6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10" fillId="0" borderId="1" xfId="0" applyNumberFormat="1" applyFont="1" applyBorder="1"/>
    <xf numFmtId="165" fontId="10" fillId="0" borderId="0" xfId="0" applyNumberFormat="1" applyFont="1"/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11" fillId="0" borderId="1" xfId="0" applyNumberFormat="1" applyFont="1" applyBorder="1"/>
    <xf numFmtId="165" fontId="8" fillId="0" borderId="0" xfId="0" applyNumberFormat="1" applyFont="1"/>
    <xf numFmtId="165" fontId="9" fillId="0" borderId="0" xfId="0" applyNumberFormat="1" applyFont="1" applyAlignment="1">
      <alignment vertical="center"/>
    </xf>
    <xf numFmtId="0" fontId="7" fillId="0" borderId="1" xfId="0" applyFont="1" applyBorder="1"/>
    <xf numFmtId="0" fontId="7" fillId="3" borderId="1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65" fontId="7" fillId="0" borderId="1" xfId="0" applyNumberFormat="1" applyFont="1" applyBorder="1"/>
    <xf numFmtId="0" fontId="7" fillId="0" borderId="0" xfId="0" applyFont="1"/>
    <xf numFmtId="165" fontId="7" fillId="0" borderId="0" xfId="1" applyNumberFormat="1" applyFont="1"/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165" fontId="12" fillId="0" borderId="1" xfId="0" applyNumberFormat="1" applyFont="1" applyBorder="1"/>
    <xf numFmtId="165" fontId="7" fillId="0" borderId="0" xfId="0" applyNumberFormat="1" applyFont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6" fillId="0" borderId="5" xfId="0" applyNumberFormat="1" applyFont="1" applyBorder="1"/>
    <xf numFmtId="165" fontId="13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5" borderId="1" xfId="0" applyFont="1" applyFill="1" applyBorder="1"/>
    <xf numFmtId="0" fontId="10" fillId="0" borderId="0" xfId="0" applyFont="1"/>
    <xf numFmtId="165" fontId="14" fillId="0" borderId="1" xfId="0" applyNumberFormat="1" applyFont="1" applyBorder="1"/>
    <xf numFmtId="165" fontId="10" fillId="0" borderId="1" xfId="0" applyNumberFormat="1" applyFont="1" applyBorder="1" applyAlignment="1">
      <alignment horizontal="center"/>
    </xf>
    <xf numFmtId="165" fontId="8" fillId="5" borderId="0" xfId="0" applyNumberFormat="1" applyFont="1" applyFill="1"/>
    <xf numFmtId="0" fontId="7" fillId="5" borderId="0" xfId="0" applyFont="1" applyFill="1"/>
    <xf numFmtId="0" fontId="1" fillId="0" borderId="0" xfId="0" applyFont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5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165" fontId="0" fillId="0" borderId="1" xfId="0" applyNumberFormat="1" applyFont="1" applyBorder="1"/>
    <xf numFmtId="165" fontId="0" fillId="0" borderId="0" xfId="0" applyNumberFormat="1" applyFont="1"/>
    <xf numFmtId="165" fontId="6" fillId="0" borderId="2" xfId="0" applyNumberFormat="1" applyFont="1" applyFill="1" applyBorder="1"/>
    <xf numFmtId="165" fontId="15" fillId="0" borderId="0" xfId="0" applyNumberFormat="1" applyFont="1"/>
    <xf numFmtId="165" fontId="4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/>
    <xf numFmtId="165" fontId="16" fillId="0" borderId="0" xfId="0" applyNumberFormat="1" applyFont="1"/>
    <xf numFmtId="165" fontId="17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165" fontId="6" fillId="0" borderId="1" xfId="0" applyNumberFormat="1" applyFont="1" applyFill="1" applyBorder="1"/>
    <xf numFmtId="165" fontId="5" fillId="0" borderId="1" xfId="0" applyNumberFormat="1" applyFont="1" applyFill="1" applyBorder="1" applyAlignment="1">
      <alignment vertical="center"/>
    </xf>
    <xf numFmtId="165" fontId="13" fillId="0" borderId="0" xfId="0" applyNumberFormat="1" applyFont="1"/>
    <xf numFmtId="0" fontId="4" fillId="0" borderId="1" xfId="0" applyFont="1" applyBorder="1"/>
    <xf numFmtId="165" fontId="4" fillId="0" borderId="0" xfId="0" applyNumberFormat="1" applyFont="1" applyBorder="1"/>
    <xf numFmtId="165" fontId="18" fillId="0" borderId="1" xfId="0" applyNumberFormat="1" applyFont="1" applyFill="1" applyBorder="1" applyAlignment="1">
      <alignment vertical="center"/>
    </xf>
    <xf numFmtId="165" fontId="18" fillId="0" borderId="1" xfId="0" applyNumberFormat="1" applyFont="1" applyBorder="1"/>
    <xf numFmtId="165" fontId="10" fillId="0" borderId="1" xfId="0" applyNumberFormat="1" applyFont="1" applyBorder="1" applyAlignment="1">
      <alignment horizontal="center" vertical="center"/>
    </xf>
    <xf numFmtId="165" fontId="19" fillId="0" borderId="0" xfId="1" applyNumberFormat="1" applyFont="1" applyAlignment="1">
      <alignment horizontal="center" vertical="center"/>
    </xf>
    <xf numFmtId="0" fontId="10" fillId="4" borderId="1" xfId="0" applyFont="1" applyFill="1" applyBorder="1"/>
    <xf numFmtId="165" fontId="9" fillId="4" borderId="1" xfId="0" applyNumberFormat="1" applyFont="1" applyFill="1" applyBorder="1" applyAlignment="1">
      <alignment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'Fulan Marco'!$K$43</c:f>
              <c:strCache>
                <c:ptCount val="1"/>
                <c:pt idx="0">
                  <c:v>Rendimentu kotor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Marco'!$K$44:$K$55</c:f>
              <c:numCache>
                <c:formatCode>_([$$-409]* #,##0.00_);_([$$-409]* \(#,##0.00\);_([$$-409]* "-"??_);_(@_)</c:formatCode>
                <c:ptCount val="12"/>
                <c:pt idx="0">
                  <c:v>882</c:v>
                </c:pt>
                <c:pt idx="1">
                  <c:v>1080.5</c:v>
                </c:pt>
                <c:pt idx="2">
                  <c:v>1302.25</c:v>
                </c:pt>
                <c:pt idx="3">
                  <c:v>1000</c:v>
                </c:pt>
                <c:pt idx="4">
                  <c:v>2125</c:v>
                </c:pt>
                <c:pt idx="11">
                  <c:v>6389.75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1-0B4A-8F95-87223116284E}"/>
            </c:ext>
          </c:extLst>
        </c:ser>
        <c:ser>
          <c:idx val="1"/>
          <c:order val="1"/>
          <c:tx>
            <c:strRef>
              <c:f>'Fulan Marco'!$L$43</c:f>
              <c:strCache>
                <c:ptCount val="1"/>
                <c:pt idx="0">
                  <c:v>Rendimentu Bersih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Marco'!$L$44:$L$55</c:f>
              <c:numCache>
                <c:formatCode>_([$$-409]* #,##0.00_);_([$$-409]* \(#,##0.00\);_([$$-409]* "-"??_);_(@_)</c:formatCode>
                <c:ptCount val="12"/>
                <c:pt idx="0">
                  <c:v>364.3</c:v>
                </c:pt>
                <c:pt idx="1">
                  <c:v>366.6</c:v>
                </c:pt>
                <c:pt idx="2">
                  <c:v>574</c:v>
                </c:pt>
                <c:pt idx="3">
                  <c:v>318.44</c:v>
                </c:pt>
                <c:pt idx="4">
                  <c:v>453.75</c:v>
                </c:pt>
                <c:pt idx="11">
                  <c:v>2077.09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1-0B4A-8F95-87223116284E}"/>
            </c:ext>
          </c:extLst>
        </c:ser>
        <c:ser>
          <c:idx val="2"/>
          <c:order val="2"/>
          <c:tx>
            <c:strRef>
              <c:f>'Fulan Marco'!$M$43</c:f>
              <c:strCache>
                <c:ptCount val="1"/>
                <c:pt idx="0">
                  <c:v>Salariu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Marco'!$M$44:$M$55</c:f>
              <c:numCache>
                <c:formatCode>_([$$-409]* #,##0.00_);_([$$-409]* \(#,##0.00\);_([$$-409]* "-"??_);_(@_)</c:formatCode>
                <c:ptCount val="1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0</c:v>
                </c:pt>
                <c:pt idx="11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1-0B4A-8F95-87223116284E}"/>
            </c:ext>
          </c:extLst>
        </c:ser>
        <c:ser>
          <c:idx val="3"/>
          <c:order val="3"/>
          <c:tx>
            <c:strRef>
              <c:f>'Fulan Marco'!$N$43</c:f>
              <c:strCache>
                <c:ptCount val="1"/>
                <c:pt idx="0">
                  <c:v>Ongkos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Marco'!$N$44:$N$55</c:f>
              <c:numCache>
                <c:formatCode>_([$$-409]* #,##0.00_);_([$$-409]* \(#,##0.00\);_([$$-409]* "-"??_);_(@_)</c:formatCode>
                <c:ptCount val="12"/>
                <c:pt idx="0">
                  <c:v>252</c:v>
                </c:pt>
                <c:pt idx="1">
                  <c:v>395.25</c:v>
                </c:pt>
                <c:pt idx="2">
                  <c:v>395.25</c:v>
                </c:pt>
                <c:pt idx="3">
                  <c:v>378.5</c:v>
                </c:pt>
                <c:pt idx="4">
                  <c:v>405.25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1-0B4A-8F95-87223116284E}"/>
            </c:ext>
          </c:extLst>
        </c:ser>
        <c:ser>
          <c:idx val="4"/>
          <c:order val="4"/>
          <c:tx>
            <c:strRef>
              <c:f>'Fulan Marco'!$O$43</c:f>
              <c:strCache>
                <c:ptCount val="1"/>
                <c:pt idx="0">
                  <c:v>Persen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Marco'!$O$44:$O$55</c:f>
              <c:numCache>
                <c:formatCode>_([$$-409]* #,##0.00_);_([$$-409]* \(#,##0.00\);_([$$-409]* "-"??_);_(@_)</c:formatCode>
                <c:ptCount val="12"/>
                <c:pt idx="0">
                  <c:v>25.200000000000003</c:v>
                </c:pt>
                <c:pt idx="1">
                  <c:v>39.53</c:v>
                </c:pt>
                <c:pt idx="2">
                  <c:v>39.53</c:v>
                </c:pt>
                <c:pt idx="3">
                  <c:v>37.799999999999997</c:v>
                </c:pt>
                <c:pt idx="4">
                  <c:v>39.53</c:v>
                </c:pt>
                <c:pt idx="11">
                  <c:v>181.59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21-0B4A-8F95-87223116284E}"/>
            </c:ext>
          </c:extLst>
        </c:ser>
        <c:ser>
          <c:idx val="5"/>
          <c:order val="5"/>
          <c:tx>
            <c:strRef>
              <c:f>'Fulan Marco'!$P$43</c:f>
              <c:strCache>
                <c:ptCount val="1"/>
                <c:pt idx="0">
                  <c:v>Bersih ongkos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Marco'!$P$44:$P$55</c:f>
              <c:numCache>
                <c:formatCode>_([$$-409]* #,##0.00_);_([$$-409]* \(#,##0.00\);_([$$-409]* "-"??_);_(@_)</c:formatCode>
                <c:ptCount val="12"/>
                <c:pt idx="0">
                  <c:v>226.8</c:v>
                </c:pt>
                <c:pt idx="1">
                  <c:v>355.73</c:v>
                </c:pt>
                <c:pt idx="2">
                  <c:v>355.73</c:v>
                </c:pt>
                <c:pt idx="3">
                  <c:v>340.2</c:v>
                </c:pt>
                <c:pt idx="4">
                  <c:v>355.73</c:v>
                </c:pt>
                <c:pt idx="11">
                  <c:v>1634.19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21-0B4A-8F95-87223116284E}"/>
            </c:ext>
          </c:extLst>
        </c:ser>
        <c:ser>
          <c:idx val="6"/>
          <c:order val="6"/>
          <c:tx>
            <c:strRef>
              <c:f>'Fulan Marco'!$Q$43</c:f>
              <c:strCache>
                <c:ptCount val="1"/>
                <c:pt idx="0">
                  <c:v>Bersih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Marco'!$Q$44:$Q$55</c:f>
              <c:numCache>
                <c:formatCode>_([$$-409]* #,##0.00_);_([$$-409]* \(#,##0.00\);_([$$-409]* "-"??_);_(@_)</c:formatCode>
                <c:ptCount val="12"/>
                <c:pt idx="0">
                  <c:v>389.5</c:v>
                </c:pt>
                <c:pt idx="1">
                  <c:v>406.13</c:v>
                </c:pt>
                <c:pt idx="2">
                  <c:v>604</c:v>
                </c:pt>
                <c:pt idx="3">
                  <c:v>356.24</c:v>
                </c:pt>
                <c:pt idx="4">
                  <c:v>493.28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2249.15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21-0B4A-8F95-87223116284E}"/>
            </c:ext>
          </c:extLst>
        </c:ser>
        <c:ser>
          <c:idx val="7"/>
          <c:order val="7"/>
          <c:tx>
            <c:strRef>
              <c:f>'Fulan Marco'!$R$43</c:f>
              <c:strCache>
                <c:ptCount val="1"/>
                <c:pt idx="0">
                  <c:v>Pengeluaran</c:v>
                </c:pt>
              </c:strCache>
            </c:strRef>
          </c:tx>
          <c:spPr>
            <a:ln w="317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marker>
          <c:cat>
            <c:strRef>
              <c:f>'Fulan Marco'!$J$44:$J$55</c:f>
              <c:strCache>
                <c:ptCount val="12"/>
                <c:pt idx="0">
                  <c:v>Fevereiru</c:v>
                </c:pt>
                <c:pt idx="1">
                  <c:v>Marsu</c:v>
                </c:pt>
                <c:pt idx="2">
                  <c:v>Abril</c:v>
                </c:pt>
                <c:pt idx="3">
                  <c:v>Maiu</c:v>
                </c:pt>
                <c:pt idx="4">
                  <c:v>Junu</c:v>
                </c:pt>
                <c:pt idx="5">
                  <c:v>Julho</c:v>
                </c:pt>
                <c:pt idx="6">
                  <c:v>Augustu</c:v>
                </c:pt>
                <c:pt idx="7">
                  <c:v>Setembru</c:v>
                </c:pt>
                <c:pt idx="8">
                  <c:v>outubru</c:v>
                </c:pt>
                <c:pt idx="9">
                  <c:v>Novembru</c:v>
                </c:pt>
                <c:pt idx="10">
                  <c:v>Dezembru</c:v>
                </c:pt>
                <c:pt idx="11">
                  <c:v>Total</c:v>
                </c:pt>
              </c:strCache>
            </c:strRef>
          </c:cat>
          <c:val>
            <c:numRef>
              <c:f>'Fulan Marco'!$R$44:$R$55</c:f>
              <c:numCache>
                <c:formatCode>_([$$-409]* #,##0.00_);_([$$-409]* \(#,##0.00\);_([$$-409]* "-"??_);_(@_)</c:formatCode>
                <c:ptCount val="12"/>
                <c:pt idx="0">
                  <c:v>410.9</c:v>
                </c:pt>
                <c:pt idx="1">
                  <c:v>395.25</c:v>
                </c:pt>
                <c:pt idx="2">
                  <c:v>728.25</c:v>
                </c:pt>
                <c:pt idx="3">
                  <c:v>856.06</c:v>
                </c:pt>
                <c:pt idx="4">
                  <c:v>633</c:v>
                </c:pt>
                <c:pt idx="11">
                  <c:v>3023.46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21-0B4A-8F95-8722311628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dropLines>
        <c:marker val="1"/>
        <c:smooth val="0"/>
        <c:axId val="352591488"/>
        <c:axId val="352593200"/>
      </c:lineChart>
      <c:catAx>
        <c:axId val="3525914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52593200"/>
        <c:crosses val="autoZero"/>
        <c:auto val="1"/>
        <c:lblAlgn val="ctr"/>
        <c:lblOffset val="100"/>
        <c:noMultiLvlLbl val="0"/>
      </c:catAx>
      <c:valAx>
        <c:axId val="352593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_([$$-409]* #,##0.00_);_([$$-409]* \(#,##0.0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5259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101600</xdr:colOff>
      <xdr:row>33</xdr:row>
      <xdr:rowOff>304800</xdr:rowOff>
    </xdr:from>
    <xdr:to>
      <xdr:col>22</xdr:col>
      <xdr:colOff>508000</xdr:colOff>
      <xdr:row>41</xdr:row>
      <xdr:rowOff>254000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AEBCE-3C1D-9F61-AF65-C5C0370B8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052A-288B-6048-BCFD-3AB15CCB6B91}">
  <dimension ref="A3:R302"/>
  <sheetViews>
    <sheetView topLeftCell="A223" zoomScale="131" zoomScaleNormal="131" workbookViewId="0">
      <selection activeCell="C237" sqref="C237"/>
    </sheetView>
  </sheetViews>
  <sheetFormatPr baseColWidth="10" defaultRowHeight="24" x14ac:dyDescent="0.3"/>
  <cols>
    <col min="2" max="2" width="65.5" bestFit="1" customWidth="1"/>
    <col min="3" max="3" width="17.1640625" bestFit="1" customWidth="1"/>
    <col min="4" max="4" width="15.1640625" bestFit="1" customWidth="1"/>
    <col min="5" max="5" width="17.5" bestFit="1" customWidth="1"/>
    <col min="6" max="6" width="19.5" style="90" bestFit="1" customWidth="1"/>
    <col min="7" max="7" width="14.33203125" bestFit="1" customWidth="1"/>
    <col min="8" max="9" width="17" bestFit="1" customWidth="1"/>
    <col min="10" max="10" width="14.83203125" bestFit="1" customWidth="1"/>
    <col min="11" max="11" width="21.1640625" bestFit="1" customWidth="1"/>
    <col min="12" max="12" width="14.33203125" bestFit="1" customWidth="1"/>
    <col min="13" max="13" width="18.33203125" style="30" bestFit="1" customWidth="1"/>
    <col min="14" max="14" width="13" style="30" bestFit="1" customWidth="1"/>
  </cols>
  <sheetData>
    <row r="3" spans="1:16" x14ac:dyDescent="0.3">
      <c r="B3" s="85" t="s">
        <v>535</v>
      </c>
      <c r="C3" s="85"/>
      <c r="D3" s="85"/>
      <c r="E3" s="85"/>
      <c r="F3" s="85"/>
    </row>
    <row r="4" spans="1:16" ht="26" x14ac:dyDescent="0.3">
      <c r="B4" s="44" t="s">
        <v>342</v>
      </c>
      <c r="C4" s="44" t="s">
        <v>166</v>
      </c>
      <c r="D4" s="44" t="s">
        <v>273</v>
      </c>
      <c r="E4" s="44" t="s">
        <v>277</v>
      </c>
      <c r="F4" s="45" t="s">
        <v>315</v>
      </c>
      <c r="H4" s="31" t="s">
        <v>315</v>
      </c>
      <c r="I4" s="31" t="s">
        <v>119</v>
      </c>
      <c r="J4" s="31">
        <v>0.1</v>
      </c>
      <c r="K4" s="31" t="s">
        <v>337</v>
      </c>
      <c r="M4" s="94" t="s">
        <v>277</v>
      </c>
      <c r="N4" s="93"/>
      <c r="O4" s="10"/>
      <c r="P4" s="10"/>
    </row>
    <row r="5" spans="1:16" ht="26" x14ac:dyDescent="0.3">
      <c r="A5">
        <v>1</v>
      </c>
      <c r="B5" s="38" t="s">
        <v>611</v>
      </c>
      <c r="C5" s="39">
        <v>4.5</v>
      </c>
      <c r="D5" s="29">
        <v>0.5</v>
      </c>
      <c r="E5" s="94">
        <v>148</v>
      </c>
      <c r="F5" s="40" t="s">
        <v>688</v>
      </c>
      <c r="H5" s="32" t="s">
        <v>340</v>
      </c>
      <c r="I5" s="33">
        <v>175.75</v>
      </c>
      <c r="J5" s="33">
        <f>I5*J4</f>
        <v>17.574999999999999</v>
      </c>
      <c r="K5" s="72">
        <f>I5-J5</f>
        <v>158.17500000000001</v>
      </c>
      <c r="L5" s="27"/>
      <c r="M5" s="94">
        <v>148.5</v>
      </c>
      <c r="N5" s="94"/>
      <c r="P5" s="10"/>
    </row>
    <row r="6" spans="1:16" ht="26" x14ac:dyDescent="0.3">
      <c r="A6">
        <v>2</v>
      </c>
      <c r="B6" s="38" t="s">
        <v>612</v>
      </c>
      <c r="C6" s="39">
        <v>1</v>
      </c>
      <c r="D6" s="29">
        <v>1</v>
      </c>
      <c r="E6" s="94">
        <v>49</v>
      </c>
      <c r="F6" s="40" t="s">
        <v>688</v>
      </c>
      <c r="H6" s="32" t="s">
        <v>537</v>
      </c>
      <c r="I6" s="33">
        <v>219.5</v>
      </c>
      <c r="J6" s="33">
        <f>I6*J4</f>
        <v>21.950000000000003</v>
      </c>
      <c r="K6" s="33">
        <f>I6-J6</f>
        <v>197.55</v>
      </c>
      <c r="M6" s="94">
        <v>49</v>
      </c>
      <c r="N6" s="94"/>
      <c r="P6" s="10"/>
    </row>
    <row r="7" spans="1:16" ht="26" x14ac:dyDescent="0.3">
      <c r="A7">
        <v>3</v>
      </c>
      <c r="B7" s="38" t="s">
        <v>427</v>
      </c>
      <c r="C7" s="39">
        <v>1</v>
      </c>
      <c r="D7" s="29">
        <v>1</v>
      </c>
      <c r="E7" s="94">
        <v>57</v>
      </c>
      <c r="F7" s="40" t="s">
        <v>688</v>
      </c>
      <c r="H7" s="70"/>
      <c r="I7" s="66">
        <f>SUM(I5:I6)</f>
        <v>395.25</v>
      </c>
      <c r="J7" s="66">
        <f>SUM(J5:J6)</f>
        <v>39.525000000000006</v>
      </c>
      <c r="K7" s="66">
        <f>SUM(K5:K6)</f>
        <v>355.72500000000002</v>
      </c>
      <c r="M7" s="94">
        <v>57</v>
      </c>
      <c r="N7" s="94"/>
    </row>
    <row r="8" spans="1:16" ht="26" x14ac:dyDescent="0.3">
      <c r="A8">
        <v>4</v>
      </c>
      <c r="B8" s="38" t="s">
        <v>348</v>
      </c>
      <c r="C8" s="39">
        <v>1</v>
      </c>
      <c r="D8" s="29">
        <v>0.5</v>
      </c>
      <c r="E8" s="94">
        <v>22.5</v>
      </c>
      <c r="F8" s="40" t="s">
        <v>688</v>
      </c>
      <c r="H8" s="53"/>
      <c r="I8" s="66"/>
      <c r="J8" s="63"/>
      <c r="K8" s="63"/>
      <c r="M8" s="94">
        <v>22.5</v>
      </c>
      <c r="N8" s="94"/>
    </row>
    <row r="9" spans="1:16" ht="26" x14ac:dyDescent="0.3">
      <c r="A9">
        <v>5</v>
      </c>
      <c r="B9" s="38" t="s">
        <v>613</v>
      </c>
      <c r="C9" s="39">
        <v>0.5</v>
      </c>
      <c r="D9" s="29">
        <v>0.25</v>
      </c>
      <c r="E9" s="94">
        <v>60</v>
      </c>
      <c r="F9" s="40" t="s">
        <v>688</v>
      </c>
      <c r="H9" s="64" t="s">
        <v>688</v>
      </c>
      <c r="I9" s="64" t="s">
        <v>311</v>
      </c>
      <c r="J9" s="63"/>
      <c r="K9" s="53"/>
      <c r="L9" s="10"/>
      <c r="M9" s="94">
        <v>60</v>
      </c>
      <c r="N9" s="94"/>
    </row>
    <row r="10" spans="1:16" x14ac:dyDescent="0.3">
      <c r="A10">
        <v>6</v>
      </c>
      <c r="B10" s="38" t="s">
        <v>177</v>
      </c>
      <c r="C10" s="39">
        <v>0.25</v>
      </c>
      <c r="D10" s="29">
        <v>8</v>
      </c>
      <c r="E10" s="94">
        <v>100.5</v>
      </c>
      <c r="F10" s="40" t="s">
        <v>688</v>
      </c>
      <c r="H10" s="29">
        <v>0.5</v>
      </c>
      <c r="I10" s="29">
        <v>5.5</v>
      </c>
      <c r="J10" s="10"/>
      <c r="L10" s="10"/>
      <c r="M10" s="94">
        <v>100.5</v>
      </c>
      <c r="N10" s="94"/>
    </row>
    <row r="11" spans="1:16" x14ac:dyDescent="0.3">
      <c r="A11">
        <v>7</v>
      </c>
      <c r="B11" s="38" t="s">
        <v>184</v>
      </c>
      <c r="C11" s="39">
        <v>2</v>
      </c>
      <c r="D11" s="29">
        <v>2</v>
      </c>
      <c r="E11" s="94">
        <v>28</v>
      </c>
      <c r="F11" s="40" t="s">
        <v>688</v>
      </c>
      <c r="H11" s="29">
        <v>1</v>
      </c>
      <c r="I11" s="29">
        <v>0.5</v>
      </c>
      <c r="J11" s="10"/>
      <c r="L11" s="10"/>
      <c r="M11" s="94">
        <v>28</v>
      </c>
      <c r="N11" s="94"/>
    </row>
    <row r="12" spans="1:16" x14ac:dyDescent="0.3">
      <c r="A12">
        <v>8</v>
      </c>
      <c r="B12" s="38" t="s">
        <v>611</v>
      </c>
      <c r="C12" s="39">
        <v>4.5</v>
      </c>
      <c r="D12" s="29">
        <v>4</v>
      </c>
      <c r="E12" s="94">
        <v>7</v>
      </c>
      <c r="F12" s="40" t="s">
        <v>688</v>
      </c>
      <c r="H12" s="29">
        <v>1</v>
      </c>
      <c r="I12" s="29">
        <v>0.25</v>
      </c>
      <c r="J12" s="10"/>
      <c r="L12" s="10"/>
      <c r="M12" s="94">
        <v>7</v>
      </c>
      <c r="N12" s="94"/>
    </row>
    <row r="13" spans="1:16" x14ac:dyDescent="0.3">
      <c r="A13">
        <v>9</v>
      </c>
      <c r="B13" s="38" t="s">
        <v>614</v>
      </c>
      <c r="C13" s="39">
        <v>5</v>
      </c>
      <c r="D13" s="29">
        <v>2</v>
      </c>
      <c r="E13" s="94">
        <v>45</v>
      </c>
      <c r="F13" s="40" t="s">
        <v>688</v>
      </c>
      <c r="H13" s="29">
        <v>0.5</v>
      </c>
      <c r="I13" s="29">
        <v>2</v>
      </c>
      <c r="J13" s="10"/>
      <c r="L13" s="10"/>
      <c r="M13" s="94">
        <v>45</v>
      </c>
      <c r="N13" s="94"/>
    </row>
    <row r="14" spans="1:16" x14ac:dyDescent="0.3">
      <c r="A14">
        <v>10</v>
      </c>
      <c r="B14" s="38" t="s">
        <v>615</v>
      </c>
      <c r="C14" s="39">
        <v>4</v>
      </c>
      <c r="D14" s="29">
        <v>5.5</v>
      </c>
      <c r="E14" s="94">
        <v>94</v>
      </c>
      <c r="F14" s="39" t="s">
        <v>340</v>
      </c>
      <c r="H14" s="29">
        <v>0.25</v>
      </c>
      <c r="I14" s="29">
        <v>1</v>
      </c>
      <c r="J14" s="10"/>
      <c r="L14" s="10"/>
      <c r="M14" s="94">
        <v>94</v>
      </c>
      <c r="N14" s="94"/>
    </row>
    <row r="15" spans="1:16" x14ac:dyDescent="0.3">
      <c r="A15">
        <v>11</v>
      </c>
      <c r="B15" s="38" t="s">
        <v>222</v>
      </c>
      <c r="C15" s="39">
        <v>5</v>
      </c>
      <c r="D15" s="29">
        <v>0.5</v>
      </c>
      <c r="E15" s="94">
        <v>7</v>
      </c>
      <c r="F15" s="40" t="s">
        <v>688</v>
      </c>
      <c r="H15" s="29">
        <v>8</v>
      </c>
      <c r="I15" s="29">
        <v>0.5</v>
      </c>
      <c r="J15" s="10"/>
      <c r="L15" s="10"/>
      <c r="M15" s="94">
        <v>7</v>
      </c>
      <c r="N15" s="94"/>
    </row>
    <row r="16" spans="1:16" x14ac:dyDescent="0.3">
      <c r="A16">
        <v>12</v>
      </c>
      <c r="B16" s="38" t="s">
        <v>616</v>
      </c>
      <c r="C16" s="39">
        <v>3</v>
      </c>
      <c r="D16" s="29">
        <v>0.5</v>
      </c>
      <c r="E16" s="94">
        <v>5</v>
      </c>
      <c r="F16" s="39" t="s">
        <v>311</v>
      </c>
      <c r="H16" s="29">
        <v>2</v>
      </c>
      <c r="I16" s="29">
        <v>2</v>
      </c>
      <c r="J16" s="10"/>
      <c r="L16" s="10"/>
      <c r="M16" s="94">
        <v>5</v>
      </c>
      <c r="N16" s="94"/>
    </row>
    <row r="17" spans="1:14" x14ac:dyDescent="0.3">
      <c r="A17">
        <v>13</v>
      </c>
      <c r="B17" s="38" t="s">
        <v>348</v>
      </c>
      <c r="C17" s="39">
        <v>1</v>
      </c>
      <c r="D17" s="29">
        <v>0.25</v>
      </c>
      <c r="E17" s="94">
        <v>10</v>
      </c>
      <c r="F17" s="39" t="s">
        <v>311</v>
      </c>
      <c r="H17" s="29">
        <v>4</v>
      </c>
      <c r="I17" s="29">
        <v>0.5</v>
      </c>
      <c r="J17" s="10"/>
      <c r="L17" s="10"/>
      <c r="M17" s="94">
        <v>10</v>
      </c>
      <c r="N17" s="94"/>
    </row>
    <row r="18" spans="1:14" x14ac:dyDescent="0.3">
      <c r="A18">
        <v>14</v>
      </c>
      <c r="B18" s="38" t="s">
        <v>617</v>
      </c>
      <c r="C18" s="39">
        <v>8</v>
      </c>
      <c r="D18" s="29">
        <v>5</v>
      </c>
      <c r="E18" s="29"/>
      <c r="F18" s="40" t="s">
        <v>688</v>
      </c>
      <c r="H18" s="29">
        <v>2</v>
      </c>
      <c r="I18" s="29">
        <v>0.5</v>
      </c>
      <c r="J18" s="10"/>
      <c r="L18" s="10"/>
      <c r="M18" s="94"/>
      <c r="N18" s="94"/>
    </row>
    <row r="19" spans="1:14" x14ac:dyDescent="0.3">
      <c r="A19">
        <v>15</v>
      </c>
      <c r="B19" s="38" t="s">
        <v>618</v>
      </c>
      <c r="C19" s="39">
        <v>4.5</v>
      </c>
      <c r="D19" s="29">
        <v>2</v>
      </c>
      <c r="E19" s="29"/>
      <c r="F19" s="39" t="s">
        <v>689</v>
      </c>
      <c r="H19" s="29">
        <v>0.5</v>
      </c>
      <c r="I19" s="29">
        <v>4.5</v>
      </c>
      <c r="J19" s="10"/>
      <c r="L19" s="10"/>
      <c r="M19" s="102">
        <f>SUM(M5:M17)</f>
        <v>633.5</v>
      </c>
      <c r="N19" s="94"/>
    </row>
    <row r="20" spans="1:14" x14ac:dyDescent="0.3">
      <c r="A20">
        <v>16</v>
      </c>
      <c r="B20" s="38" t="s">
        <v>174</v>
      </c>
      <c r="C20" s="39">
        <v>1</v>
      </c>
      <c r="D20" s="29">
        <v>1</v>
      </c>
      <c r="E20" s="29"/>
      <c r="F20" s="39" t="s">
        <v>689</v>
      </c>
      <c r="H20" s="29">
        <v>2</v>
      </c>
      <c r="I20" s="29">
        <v>0.5</v>
      </c>
      <c r="J20" s="10"/>
      <c r="L20" s="10"/>
      <c r="N20" s="94"/>
    </row>
    <row r="21" spans="1:14" x14ac:dyDescent="0.3">
      <c r="A21">
        <v>17</v>
      </c>
      <c r="B21" s="38" t="s">
        <v>619</v>
      </c>
      <c r="C21" s="39">
        <v>0.5</v>
      </c>
      <c r="D21" s="29">
        <v>0.5</v>
      </c>
      <c r="E21" s="29"/>
      <c r="F21" s="39" t="s">
        <v>689</v>
      </c>
      <c r="H21" s="29">
        <v>0.5</v>
      </c>
      <c r="I21" s="29">
        <v>1.5</v>
      </c>
      <c r="J21" s="10"/>
      <c r="L21" s="10"/>
      <c r="N21" s="94"/>
    </row>
    <row r="22" spans="1:14" x14ac:dyDescent="0.3">
      <c r="A22">
        <v>18</v>
      </c>
      <c r="B22" s="38" t="s">
        <v>620</v>
      </c>
      <c r="C22" s="39">
        <v>6</v>
      </c>
      <c r="D22" s="29">
        <v>2</v>
      </c>
      <c r="E22" s="29"/>
      <c r="F22" s="40" t="s">
        <v>688</v>
      </c>
      <c r="H22" s="91">
        <v>5</v>
      </c>
      <c r="I22" s="29">
        <v>21</v>
      </c>
      <c r="J22" s="10"/>
      <c r="L22" s="10"/>
      <c r="M22" s="94"/>
      <c r="N22" s="94"/>
    </row>
    <row r="23" spans="1:14" x14ac:dyDescent="0.3">
      <c r="A23">
        <v>19</v>
      </c>
      <c r="B23" s="38" t="s">
        <v>621</v>
      </c>
      <c r="C23" s="39">
        <v>3</v>
      </c>
      <c r="D23" s="29">
        <v>0.5</v>
      </c>
      <c r="E23" s="29"/>
      <c r="F23" s="40" t="s">
        <v>688</v>
      </c>
      <c r="H23" s="29">
        <v>2</v>
      </c>
      <c r="I23" s="29">
        <v>3</v>
      </c>
      <c r="J23" s="10"/>
      <c r="L23" s="10"/>
      <c r="M23" s="94"/>
      <c r="N23" s="94"/>
    </row>
    <row r="24" spans="1:14" x14ac:dyDescent="0.3">
      <c r="A24">
        <v>20</v>
      </c>
      <c r="B24" s="38" t="s">
        <v>221</v>
      </c>
      <c r="C24" s="39">
        <v>1.5</v>
      </c>
      <c r="D24" s="29">
        <v>1.5</v>
      </c>
      <c r="E24" s="29"/>
      <c r="F24" s="40" t="s">
        <v>688</v>
      </c>
      <c r="H24" s="29">
        <v>0.5</v>
      </c>
      <c r="I24" s="29">
        <v>1</v>
      </c>
      <c r="J24" s="10"/>
      <c r="L24" s="10"/>
      <c r="M24" s="94"/>
      <c r="N24" s="94"/>
    </row>
    <row r="25" spans="1:14" x14ac:dyDescent="0.3">
      <c r="A25">
        <v>21</v>
      </c>
      <c r="B25" s="38" t="s">
        <v>171</v>
      </c>
      <c r="C25" s="39">
        <v>15</v>
      </c>
      <c r="D25" s="29">
        <v>1</v>
      </c>
      <c r="E25" s="29"/>
      <c r="F25" s="40" t="s">
        <v>688</v>
      </c>
      <c r="H25" s="29">
        <v>1.5</v>
      </c>
      <c r="I25" s="29">
        <v>4.5</v>
      </c>
      <c r="J25" s="10"/>
      <c r="L25" s="10"/>
      <c r="M25" s="94"/>
      <c r="N25" s="94"/>
    </row>
    <row r="26" spans="1:14" x14ac:dyDescent="0.3">
      <c r="A26">
        <v>22</v>
      </c>
      <c r="B26" s="38" t="s">
        <v>622</v>
      </c>
      <c r="C26" s="39">
        <v>5</v>
      </c>
      <c r="D26" s="29">
        <v>0.75</v>
      </c>
      <c r="E26" s="29"/>
      <c r="F26" s="40" t="s">
        <v>688</v>
      </c>
      <c r="H26" s="29">
        <v>1</v>
      </c>
      <c r="I26" s="29">
        <v>20</v>
      </c>
      <c r="J26" s="10"/>
      <c r="L26" s="10"/>
      <c r="M26" s="94"/>
      <c r="N26" s="94"/>
    </row>
    <row r="27" spans="1:14" x14ac:dyDescent="0.3">
      <c r="A27">
        <v>23</v>
      </c>
      <c r="B27" s="38" t="s">
        <v>623</v>
      </c>
      <c r="C27" s="39">
        <v>3</v>
      </c>
      <c r="D27" s="29">
        <v>0.5</v>
      </c>
      <c r="E27" s="29"/>
      <c r="F27" s="40" t="s">
        <v>688</v>
      </c>
      <c r="H27" s="29">
        <v>0.75</v>
      </c>
      <c r="I27" s="29">
        <v>1.5</v>
      </c>
      <c r="J27" s="10"/>
      <c r="L27" s="10"/>
      <c r="M27" s="94"/>
      <c r="N27" s="94"/>
    </row>
    <row r="28" spans="1:14" x14ac:dyDescent="0.3">
      <c r="A28">
        <v>24</v>
      </c>
      <c r="B28" s="38" t="s">
        <v>239</v>
      </c>
      <c r="C28" s="39">
        <v>3</v>
      </c>
      <c r="D28" s="29">
        <v>2</v>
      </c>
      <c r="E28" s="29"/>
      <c r="F28" s="40" t="s">
        <v>688</v>
      </c>
      <c r="H28" s="29">
        <v>0.5</v>
      </c>
      <c r="I28" s="29">
        <v>3</v>
      </c>
      <c r="J28" s="10"/>
      <c r="L28" s="10"/>
      <c r="M28" s="94"/>
      <c r="N28" s="94"/>
    </row>
    <row r="29" spans="1:14" x14ac:dyDescent="0.3">
      <c r="A29">
        <v>25</v>
      </c>
      <c r="B29" s="38" t="s">
        <v>624</v>
      </c>
      <c r="C29" s="39">
        <v>2.5</v>
      </c>
      <c r="D29" s="29">
        <v>2</v>
      </c>
      <c r="E29" s="29"/>
      <c r="F29" s="39" t="s">
        <v>311</v>
      </c>
      <c r="H29" s="29">
        <v>2</v>
      </c>
      <c r="I29" s="29">
        <v>2</v>
      </c>
      <c r="J29" s="10"/>
      <c r="L29" s="10"/>
      <c r="M29" s="94"/>
      <c r="N29" s="94"/>
    </row>
    <row r="30" spans="1:14" x14ac:dyDescent="0.3">
      <c r="A30">
        <v>26</v>
      </c>
      <c r="B30" s="38" t="s">
        <v>625</v>
      </c>
      <c r="C30" s="39">
        <v>1</v>
      </c>
      <c r="D30" s="29">
        <v>0.5</v>
      </c>
      <c r="E30" s="29"/>
      <c r="F30" s="40" t="s">
        <v>688</v>
      </c>
      <c r="H30" s="29">
        <v>0.5</v>
      </c>
      <c r="I30" s="29">
        <v>1</v>
      </c>
      <c r="J30" s="10"/>
      <c r="L30" s="10"/>
      <c r="M30" s="94"/>
      <c r="N30" s="94"/>
    </row>
    <row r="31" spans="1:14" x14ac:dyDescent="0.3">
      <c r="A31">
        <v>27</v>
      </c>
      <c r="B31" s="38" t="s">
        <v>155</v>
      </c>
      <c r="C31" s="39">
        <v>2.5</v>
      </c>
      <c r="D31" s="29">
        <v>1.5</v>
      </c>
      <c r="E31" s="29"/>
      <c r="F31" s="40" t="s">
        <v>688</v>
      </c>
      <c r="H31" s="29">
        <v>1.5</v>
      </c>
      <c r="I31" s="29">
        <v>4</v>
      </c>
      <c r="J31" s="10"/>
      <c r="L31" s="10"/>
      <c r="M31" s="94"/>
      <c r="N31" s="94"/>
    </row>
    <row r="32" spans="1:14" x14ac:dyDescent="0.3">
      <c r="A32">
        <v>28</v>
      </c>
      <c r="B32" s="38" t="s">
        <v>566</v>
      </c>
      <c r="C32" s="39">
        <v>6</v>
      </c>
      <c r="D32" s="29">
        <v>0.5</v>
      </c>
      <c r="E32" s="29"/>
      <c r="F32" s="39" t="s">
        <v>311</v>
      </c>
      <c r="H32" s="29">
        <v>3.5</v>
      </c>
      <c r="I32" s="29">
        <v>1.5</v>
      </c>
      <c r="J32" s="10"/>
      <c r="L32" s="10"/>
      <c r="M32" s="94"/>
      <c r="N32" s="94"/>
    </row>
    <row r="33" spans="1:18" x14ac:dyDescent="0.3">
      <c r="A33">
        <v>29</v>
      </c>
      <c r="B33" s="38" t="s">
        <v>226</v>
      </c>
      <c r="C33" s="39">
        <v>2.5</v>
      </c>
      <c r="D33" s="29">
        <v>2</v>
      </c>
      <c r="E33" s="29"/>
      <c r="F33" s="40" t="s">
        <v>688</v>
      </c>
      <c r="H33" s="29">
        <v>8</v>
      </c>
      <c r="I33" s="29">
        <v>2</v>
      </c>
      <c r="J33" s="12"/>
      <c r="L33" s="10"/>
      <c r="M33" s="94"/>
      <c r="N33" s="94"/>
    </row>
    <row r="34" spans="1:18" x14ac:dyDescent="0.3">
      <c r="A34">
        <v>30</v>
      </c>
      <c r="B34" s="38" t="s">
        <v>625</v>
      </c>
      <c r="C34" s="39">
        <v>0.5</v>
      </c>
      <c r="D34" s="29">
        <v>1.5</v>
      </c>
      <c r="E34" s="29"/>
      <c r="F34" s="40" t="s">
        <v>688</v>
      </c>
      <c r="H34" s="29">
        <v>1.5</v>
      </c>
      <c r="I34" s="29">
        <v>2.5</v>
      </c>
      <c r="J34" s="10"/>
      <c r="L34" s="10"/>
      <c r="M34" s="94"/>
      <c r="N34" s="94"/>
    </row>
    <row r="35" spans="1:18" x14ac:dyDescent="0.3">
      <c r="A35">
        <v>31</v>
      </c>
      <c r="B35" s="87" t="s">
        <v>626</v>
      </c>
      <c r="C35" s="39">
        <v>1</v>
      </c>
      <c r="D35" s="29">
        <v>3.5</v>
      </c>
      <c r="E35" s="29"/>
      <c r="F35" s="40" t="s">
        <v>688</v>
      </c>
      <c r="H35" s="29">
        <v>2</v>
      </c>
      <c r="I35" s="29">
        <v>1</v>
      </c>
      <c r="J35" s="10"/>
      <c r="L35" s="10"/>
      <c r="M35" s="94"/>
      <c r="N35" s="94"/>
    </row>
    <row r="36" spans="1:18" x14ac:dyDescent="0.3">
      <c r="A36">
        <v>32</v>
      </c>
      <c r="B36" s="38" t="s">
        <v>581</v>
      </c>
      <c r="C36" s="39">
        <v>15</v>
      </c>
      <c r="D36" s="29">
        <v>8</v>
      </c>
      <c r="E36" s="29"/>
      <c r="F36" s="40" t="s">
        <v>688</v>
      </c>
      <c r="H36" s="29">
        <v>1</v>
      </c>
      <c r="I36" s="29">
        <v>4</v>
      </c>
      <c r="J36" s="10"/>
      <c r="L36" s="10"/>
      <c r="M36" s="94"/>
      <c r="N36" s="94"/>
      <c r="R36" s="10"/>
    </row>
    <row r="37" spans="1:18" x14ac:dyDescent="0.3">
      <c r="A37">
        <v>33</v>
      </c>
      <c r="B37" s="38" t="s">
        <v>177</v>
      </c>
      <c r="C37" s="39">
        <v>0.25</v>
      </c>
      <c r="D37" s="29">
        <v>1.5</v>
      </c>
      <c r="E37" s="29"/>
      <c r="F37" s="40" t="s">
        <v>688</v>
      </c>
      <c r="H37" s="29">
        <v>1.5</v>
      </c>
      <c r="I37" s="29">
        <v>1.5</v>
      </c>
      <c r="L37" s="10"/>
      <c r="M37" s="94"/>
      <c r="N37" s="94"/>
    </row>
    <row r="38" spans="1:18" x14ac:dyDescent="0.3">
      <c r="A38">
        <v>34</v>
      </c>
      <c r="B38" s="38" t="s">
        <v>155</v>
      </c>
      <c r="C38" s="86">
        <v>2</v>
      </c>
      <c r="D38" s="29">
        <v>2</v>
      </c>
      <c r="E38" s="29"/>
      <c r="F38" s="40" t="s">
        <v>688</v>
      </c>
      <c r="H38" s="29">
        <v>1</v>
      </c>
      <c r="I38" s="29">
        <v>0.5</v>
      </c>
      <c r="J38" s="10"/>
      <c r="L38" s="10"/>
      <c r="M38" s="94"/>
      <c r="N38" s="94"/>
    </row>
    <row r="39" spans="1:18" x14ac:dyDescent="0.3">
      <c r="A39">
        <v>35</v>
      </c>
      <c r="B39" s="38" t="s">
        <v>611</v>
      </c>
      <c r="C39" s="86">
        <v>4.5</v>
      </c>
      <c r="D39" s="29">
        <v>1</v>
      </c>
      <c r="E39" s="29"/>
      <c r="F39" s="40" t="s">
        <v>688</v>
      </c>
      <c r="H39" s="29">
        <v>1</v>
      </c>
      <c r="I39" s="29">
        <v>1.5</v>
      </c>
      <c r="J39" s="10"/>
      <c r="L39" s="10"/>
      <c r="M39" s="94"/>
      <c r="N39" s="94"/>
    </row>
    <row r="40" spans="1:18" x14ac:dyDescent="0.3">
      <c r="B40" s="38" t="s">
        <v>585</v>
      </c>
      <c r="C40" s="39">
        <v>6</v>
      </c>
      <c r="D40" s="29">
        <v>1.5</v>
      </c>
      <c r="E40" s="29"/>
      <c r="F40" s="40" t="s">
        <v>688</v>
      </c>
      <c r="H40" s="29">
        <v>2.5</v>
      </c>
      <c r="I40" s="29">
        <v>1</v>
      </c>
      <c r="J40" s="10"/>
      <c r="L40" s="10"/>
      <c r="M40" s="94"/>
      <c r="N40" s="94"/>
    </row>
    <row r="41" spans="1:18" x14ac:dyDescent="0.3">
      <c r="B41" s="38" t="s">
        <v>262</v>
      </c>
      <c r="C41" s="39">
        <v>15</v>
      </c>
      <c r="D41" s="29">
        <v>0.5</v>
      </c>
      <c r="E41" s="29"/>
      <c r="F41" s="39" t="s">
        <v>311</v>
      </c>
      <c r="H41" s="29">
        <v>5</v>
      </c>
      <c r="I41" s="29">
        <v>22</v>
      </c>
      <c r="J41" s="10"/>
      <c r="L41" s="10"/>
      <c r="M41" s="94"/>
      <c r="N41" s="94"/>
    </row>
    <row r="42" spans="1:18" x14ac:dyDescent="0.3">
      <c r="B42" s="38" t="s">
        <v>620</v>
      </c>
      <c r="C42" s="39">
        <v>6</v>
      </c>
      <c r="D42" s="29">
        <v>1</v>
      </c>
      <c r="E42" s="29"/>
      <c r="F42" s="40" t="s">
        <v>688</v>
      </c>
      <c r="H42" s="46">
        <v>2</v>
      </c>
      <c r="I42" s="29">
        <v>2</v>
      </c>
      <c r="J42" s="10"/>
      <c r="L42" s="10"/>
      <c r="M42" s="94"/>
      <c r="N42" s="94"/>
    </row>
    <row r="43" spans="1:18" x14ac:dyDescent="0.3">
      <c r="B43" s="38" t="s">
        <v>620</v>
      </c>
      <c r="C43" s="39">
        <v>6</v>
      </c>
      <c r="D43" s="29">
        <v>4.5</v>
      </c>
      <c r="E43" s="29"/>
      <c r="F43" s="39" t="s">
        <v>311</v>
      </c>
      <c r="H43" s="29">
        <v>2</v>
      </c>
      <c r="I43" s="29">
        <v>0.25</v>
      </c>
      <c r="J43" s="10"/>
      <c r="L43" s="10"/>
      <c r="M43" s="94"/>
      <c r="N43" s="94"/>
    </row>
    <row r="44" spans="1:18" x14ac:dyDescent="0.3">
      <c r="B44" s="38" t="s">
        <v>174</v>
      </c>
      <c r="C44" s="39">
        <v>1</v>
      </c>
      <c r="D44" s="29">
        <v>1</v>
      </c>
      <c r="E44" s="29"/>
      <c r="F44" s="40" t="s">
        <v>688</v>
      </c>
      <c r="H44" s="29">
        <v>15</v>
      </c>
      <c r="I44" s="29">
        <v>0.5</v>
      </c>
      <c r="J44" s="10"/>
      <c r="L44" s="10"/>
      <c r="M44" s="94"/>
      <c r="N44" s="94"/>
    </row>
    <row r="45" spans="1:18" x14ac:dyDescent="0.3">
      <c r="B45" s="38" t="s">
        <v>226</v>
      </c>
      <c r="C45" s="39">
        <v>2</v>
      </c>
      <c r="D45" s="29">
        <v>2.5</v>
      </c>
      <c r="E45" s="29"/>
      <c r="F45" s="40" t="s">
        <v>688</v>
      </c>
      <c r="H45" s="29">
        <v>20</v>
      </c>
      <c r="I45" s="98">
        <v>8</v>
      </c>
      <c r="J45" s="10"/>
      <c r="L45" s="10"/>
      <c r="M45" s="94"/>
      <c r="N45" s="94"/>
    </row>
    <row r="46" spans="1:18" x14ac:dyDescent="0.3">
      <c r="B46" s="38" t="s">
        <v>237</v>
      </c>
      <c r="C46" s="39">
        <v>5</v>
      </c>
      <c r="D46" s="29">
        <v>5</v>
      </c>
      <c r="E46" s="29"/>
      <c r="F46" s="40" t="s">
        <v>688</v>
      </c>
      <c r="H46" s="29">
        <v>10</v>
      </c>
      <c r="I46" s="39">
        <v>1.5</v>
      </c>
      <c r="J46" s="10"/>
      <c r="L46" s="10"/>
      <c r="M46" s="94"/>
      <c r="N46" s="94"/>
    </row>
    <row r="47" spans="1:18" x14ac:dyDescent="0.3">
      <c r="B47" s="38" t="s">
        <v>201</v>
      </c>
      <c r="C47" s="39">
        <v>4</v>
      </c>
      <c r="D47" s="46">
        <v>2</v>
      </c>
      <c r="E47" s="46"/>
      <c r="F47" s="40" t="s">
        <v>688</v>
      </c>
      <c r="H47" s="29">
        <v>1</v>
      </c>
      <c r="I47" s="39">
        <v>28</v>
      </c>
      <c r="J47" s="10"/>
      <c r="L47" s="10"/>
      <c r="M47" s="94"/>
      <c r="N47" s="94"/>
    </row>
    <row r="48" spans="1:18" x14ac:dyDescent="0.3">
      <c r="B48" s="38" t="s">
        <v>627</v>
      </c>
      <c r="C48" s="39">
        <v>2.5</v>
      </c>
      <c r="D48" s="29">
        <v>2</v>
      </c>
      <c r="E48" s="29"/>
      <c r="F48" s="40" t="s">
        <v>688</v>
      </c>
      <c r="H48" s="29">
        <v>4</v>
      </c>
      <c r="I48" s="39">
        <v>2</v>
      </c>
      <c r="J48" s="10"/>
      <c r="L48" s="10"/>
      <c r="M48" s="94"/>
      <c r="N48" s="94"/>
    </row>
    <row r="49" spans="2:14" x14ac:dyDescent="0.3">
      <c r="B49" s="38" t="s">
        <v>628</v>
      </c>
      <c r="C49" s="39">
        <v>2</v>
      </c>
      <c r="D49" s="29">
        <v>15</v>
      </c>
      <c r="E49" s="29"/>
      <c r="F49" s="40" t="s">
        <v>688</v>
      </c>
      <c r="H49" s="29">
        <v>0.5</v>
      </c>
      <c r="I49" s="39">
        <v>0.75</v>
      </c>
      <c r="J49" s="10"/>
      <c r="L49" s="10"/>
      <c r="M49" s="94"/>
      <c r="N49" s="94"/>
    </row>
    <row r="50" spans="2:14" x14ac:dyDescent="0.3">
      <c r="B50" s="38" t="s">
        <v>169</v>
      </c>
      <c r="C50" s="39">
        <v>1.5</v>
      </c>
      <c r="D50" s="29">
        <v>0.5</v>
      </c>
      <c r="E50" s="29"/>
      <c r="F50" s="39" t="s">
        <v>311</v>
      </c>
      <c r="H50" s="29">
        <v>0.5</v>
      </c>
      <c r="I50" s="39">
        <v>0.25</v>
      </c>
      <c r="J50" s="10"/>
      <c r="L50" s="10"/>
      <c r="M50" s="94"/>
      <c r="N50" s="94"/>
    </row>
    <row r="51" spans="2:14" x14ac:dyDescent="0.3">
      <c r="B51" s="38" t="s">
        <v>629</v>
      </c>
      <c r="C51" s="39">
        <v>3.5</v>
      </c>
      <c r="D51" s="29">
        <v>1.5</v>
      </c>
      <c r="E51" s="29"/>
      <c r="F51" s="39" t="s">
        <v>311</v>
      </c>
      <c r="H51" s="29">
        <v>1.5</v>
      </c>
      <c r="I51" s="39">
        <v>2</v>
      </c>
      <c r="J51" s="10"/>
      <c r="L51" s="10"/>
      <c r="M51" s="94"/>
      <c r="N51" s="94"/>
    </row>
    <row r="52" spans="2:14" x14ac:dyDescent="0.3">
      <c r="B52" s="38" t="s">
        <v>172</v>
      </c>
      <c r="C52" s="39">
        <v>2.5</v>
      </c>
      <c r="D52" s="29">
        <v>20</v>
      </c>
      <c r="E52" s="29"/>
      <c r="F52" s="40" t="s">
        <v>688</v>
      </c>
      <c r="H52" s="29">
        <v>1</v>
      </c>
      <c r="I52" s="99">
        <v>3</v>
      </c>
      <c r="J52" s="10"/>
      <c r="L52" s="10"/>
      <c r="M52" s="94"/>
      <c r="N52" s="94"/>
    </row>
    <row r="53" spans="2:14" x14ac:dyDescent="0.3">
      <c r="B53" s="38" t="s">
        <v>174</v>
      </c>
      <c r="C53" s="39">
        <v>1</v>
      </c>
      <c r="D53" s="29">
        <v>21</v>
      </c>
      <c r="E53" s="29"/>
      <c r="F53" s="39" t="s">
        <v>311</v>
      </c>
      <c r="H53" s="29">
        <v>0.5</v>
      </c>
      <c r="I53" s="39">
        <v>1.5</v>
      </c>
      <c r="J53" s="10"/>
      <c r="L53" s="10"/>
      <c r="M53" s="94"/>
      <c r="N53" s="94"/>
    </row>
    <row r="54" spans="2:14" x14ac:dyDescent="0.3">
      <c r="B54" s="38" t="s">
        <v>239</v>
      </c>
      <c r="C54" s="39">
        <v>3.5</v>
      </c>
      <c r="D54" s="29">
        <v>10</v>
      </c>
      <c r="E54" s="29"/>
      <c r="F54" s="40" t="s">
        <v>688</v>
      </c>
      <c r="H54" s="29">
        <v>5</v>
      </c>
      <c r="I54" s="39">
        <v>0.75</v>
      </c>
      <c r="J54" s="10"/>
      <c r="L54" s="10"/>
      <c r="M54" s="94"/>
      <c r="N54" s="94"/>
    </row>
    <row r="55" spans="2:14" x14ac:dyDescent="0.3">
      <c r="B55" s="38" t="s">
        <v>611</v>
      </c>
      <c r="C55" s="39">
        <v>4.5</v>
      </c>
      <c r="D55" s="29">
        <v>3</v>
      </c>
      <c r="E55" s="29"/>
      <c r="F55" s="39" t="s">
        <v>311</v>
      </c>
      <c r="H55" s="29">
        <v>1.5</v>
      </c>
      <c r="I55" s="39">
        <v>3</v>
      </c>
      <c r="J55" s="10"/>
      <c r="L55" s="10"/>
      <c r="M55" s="94"/>
      <c r="N55" s="94"/>
    </row>
    <row r="56" spans="2:14" x14ac:dyDescent="0.3">
      <c r="B56" s="38" t="s">
        <v>611</v>
      </c>
      <c r="C56" s="39">
        <v>4.5</v>
      </c>
      <c r="D56" s="29">
        <v>1</v>
      </c>
      <c r="E56" s="29"/>
      <c r="F56" s="39" t="s">
        <v>311</v>
      </c>
      <c r="H56" s="29">
        <v>2.5</v>
      </c>
      <c r="I56" s="39">
        <v>2.5</v>
      </c>
      <c r="J56" s="10"/>
      <c r="L56" s="10"/>
      <c r="M56" s="94"/>
      <c r="N56" s="94"/>
    </row>
    <row r="57" spans="2:14" x14ac:dyDescent="0.3">
      <c r="B57" s="38" t="s">
        <v>416</v>
      </c>
      <c r="C57" s="39">
        <v>4</v>
      </c>
      <c r="D57" s="29">
        <v>4.5</v>
      </c>
      <c r="E57" s="29"/>
      <c r="F57" s="39" t="s">
        <v>311</v>
      </c>
      <c r="H57" s="29">
        <v>0.25</v>
      </c>
      <c r="I57" s="39">
        <v>0.5</v>
      </c>
      <c r="J57" s="10"/>
      <c r="L57" s="10"/>
    </row>
    <row r="58" spans="2:14" x14ac:dyDescent="0.3">
      <c r="B58" s="38" t="s">
        <v>221</v>
      </c>
      <c r="C58" s="39">
        <v>1.5</v>
      </c>
      <c r="D58" s="29">
        <v>20</v>
      </c>
      <c r="E58" s="29"/>
      <c r="F58" s="39" t="s">
        <v>311</v>
      </c>
      <c r="H58" s="29">
        <v>2</v>
      </c>
      <c r="I58" s="103">
        <v>1.5</v>
      </c>
      <c r="J58" s="10"/>
      <c r="L58" s="10"/>
    </row>
    <row r="59" spans="2:14" x14ac:dyDescent="0.3">
      <c r="B59" s="38" t="s">
        <v>629</v>
      </c>
      <c r="C59" s="39">
        <v>3.5</v>
      </c>
      <c r="D59" s="29">
        <v>1.5</v>
      </c>
      <c r="E59" s="29"/>
      <c r="F59" s="39" t="s">
        <v>311</v>
      </c>
      <c r="H59" s="29">
        <v>0.5</v>
      </c>
      <c r="I59" s="104">
        <v>10</v>
      </c>
      <c r="J59" s="10"/>
      <c r="L59" s="10"/>
    </row>
    <row r="60" spans="2:14" x14ac:dyDescent="0.3">
      <c r="B60" s="38" t="s">
        <v>630</v>
      </c>
      <c r="C60" s="39">
        <v>4</v>
      </c>
      <c r="D60" s="29">
        <v>1</v>
      </c>
      <c r="E60" s="29"/>
      <c r="F60" s="40" t="s">
        <v>688</v>
      </c>
      <c r="H60" s="29">
        <v>1.5</v>
      </c>
      <c r="I60" s="104"/>
      <c r="J60" s="10"/>
      <c r="L60" s="10"/>
    </row>
    <row r="61" spans="2:14" x14ac:dyDescent="0.3">
      <c r="B61" s="38" t="s">
        <v>211</v>
      </c>
      <c r="C61" s="39">
        <v>1</v>
      </c>
      <c r="D61" s="29">
        <v>3</v>
      </c>
      <c r="E61" s="29"/>
      <c r="F61" s="39" t="s">
        <v>311</v>
      </c>
      <c r="H61" s="29">
        <v>0.25</v>
      </c>
      <c r="I61" s="6"/>
      <c r="J61" s="10"/>
      <c r="L61" s="10"/>
    </row>
    <row r="62" spans="2:14" x14ac:dyDescent="0.3">
      <c r="B62" s="38" t="s">
        <v>631</v>
      </c>
      <c r="C62" s="39">
        <v>1</v>
      </c>
      <c r="D62" s="29">
        <v>2</v>
      </c>
      <c r="E62" s="29"/>
      <c r="F62" s="39" t="s">
        <v>340</v>
      </c>
      <c r="H62" s="29">
        <v>0.5</v>
      </c>
      <c r="I62" s="6"/>
      <c r="J62" s="10"/>
      <c r="L62" s="10"/>
    </row>
    <row r="63" spans="2:14" x14ac:dyDescent="0.3">
      <c r="B63" s="38" t="s">
        <v>632</v>
      </c>
      <c r="C63" s="39">
        <v>6</v>
      </c>
      <c r="D63" s="29">
        <v>4</v>
      </c>
      <c r="E63" s="29"/>
      <c r="F63" s="40" t="s">
        <v>688</v>
      </c>
      <c r="H63" s="29">
        <v>0.25</v>
      </c>
      <c r="I63" s="6"/>
      <c r="J63" s="10"/>
      <c r="L63" s="10"/>
    </row>
    <row r="64" spans="2:14" x14ac:dyDescent="0.3">
      <c r="B64" s="38" t="s">
        <v>633</v>
      </c>
      <c r="C64" s="39">
        <v>3</v>
      </c>
      <c r="D64" s="29">
        <v>0.5</v>
      </c>
      <c r="E64" s="29"/>
      <c r="F64" s="40" t="s">
        <v>688</v>
      </c>
      <c r="H64" s="39">
        <v>0.25</v>
      </c>
      <c r="I64" s="6"/>
      <c r="J64" s="10"/>
    </row>
    <row r="65" spans="2:12" x14ac:dyDescent="0.3">
      <c r="B65" s="38" t="s">
        <v>629</v>
      </c>
      <c r="C65" s="39">
        <v>3.5</v>
      </c>
      <c r="D65" s="29">
        <v>1</v>
      </c>
      <c r="E65" s="29"/>
      <c r="F65" s="39" t="s">
        <v>311</v>
      </c>
      <c r="H65" s="39">
        <v>1.25</v>
      </c>
      <c r="I65" s="6"/>
      <c r="J65" s="10"/>
      <c r="L65" s="12"/>
    </row>
    <row r="66" spans="2:12" x14ac:dyDescent="0.3">
      <c r="B66" s="38" t="s">
        <v>634</v>
      </c>
      <c r="C66" s="39">
        <v>6</v>
      </c>
      <c r="D66" s="29">
        <v>4</v>
      </c>
      <c r="E66" s="29"/>
      <c r="F66" s="39" t="s">
        <v>311</v>
      </c>
      <c r="H66" s="39">
        <v>6</v>
      </c>
      <c r="I66" s="6"/>
      <c r="J66" s="10"/>
    </row>
    <row r="67" spans="2:12" x14ac:dyDescent="0.3">
      <c r="B67" s="38" t="s">
        <v>635</v>
      </c>
      <c r="C67" s="39">
        <v>2.5</v>
      </c>
      <c r="D67" s="29">
        <v>1.5</v>
      </c>
      <c r="E67" s="29"/>
      <c r="F67" s="39" t="s">
        <v>311</v>
      </c>
      <c r="H67" s="39">
        <v>3</v>
      </c>
      <c r="I67" s="6"/>
      <c r="J67" s="10"/>
    </row>
    <row r="68" spans="2:12" x14ac:dyDescent="0.3">
      <c r="B68" s="38" t="s">
        <v>636</v>
      </c>
      <c r="C68" s="39">
        <v>6</v>
      </c>
      <c r="D68" s="29">
        <v>2</v>
      </c>
      <c r="E68" s="29"/>
      <c r="F68" s="39" t="s">
        <v>311</v>
      </c>
      <c r="H68" s="39">
        <v>1</v>
      </c>
      <c r="I68" s="6"/>
      <c r="J68" s="10"/>
    </row>
    <row r="69" spans="2:12" x14ac:dyDescent="0.3">
      <c r="B69" s="38" t="s">
        <v>581</v>
      </c>
      <c r="C69" s="39">
        <v>13</v>
      </c>
      <c r="D69" s="29">
        <v>2.5</v>
      </c>
      <c r="E69" s="29"/>
      <c r="F69" s="39" t="s">
        <v>311</v>
      </c>
      <c r="H69" s="39">
        <v>0.25</v>
      </c>
      <c r="I69" s="6"/>
      <c r="J69" s="10"/>
    </row>
    <row r="70" spans="2:12" x14ac:dyDescent="0.3">
      <c r="B70" s="38" t="s">
        <v>637</v>
      </c>
      <c r="C70" s="39">
        <v>6</v>
      </c>
      <c r="D70" s="29">
        <v>1</v>
      </c>
      <c r="E70" s="29"/>
      <c r="F70" s="39" t="s">
        <v>311</v>
      </c>
      <c r="H70" s="39">
        <v>0.25</v>
      </c>
      <c r="I70" s="6"/>
      <c r="J70" s="10"/>
    </row>
    <row r="71" spans="2:12" x14ac:dyDescent="0.3">
      <c r="B71" s="38" t="s">
        <v>633</v>
      </c>
      <c r="C71" s="39">
        <v>3</v>
      </c>
      <c r="D71" s="29">
        <v>4</v>
      </c>
      <c r="E71" s="29"/>
      <c r="F71" s="39" t="s">
        <v>311</v>
      </c>
      <c r="H71" s="39">
        <v>1</v>
      </c>
      <c r="I71" s="6"/>
      <c r="J71" s="10"/>
    </row>
    <row r="72" spans="2:12" x14ac:dyDescent="0.3">
      <c r="B72" s="38" t="s">
        <v>186</v>
      </c>
      <c r="C72" s="39">
        <v>4.5</v>
      </c>
      <c r="D72" s="29">
        <v>0.5</v>
      </c>
      <c r="E72" s="29"/>
      <c r="F72" s="40" t="s">
        <v>688</v>
      </c>
      <c r="H72" s="39">
        <v>1.5</v>
      </c>
      <c r="I72" s="6"/>
      <c r="J72" s="10"/>
    </row>
    <row r="73" spans="2:12" x14ac:dyDescent="0.3">
      <c r="B73" s="38" t="s">
        <v>638</v>
      </c>
      <c r="C73" s="39">
        <v>3</v>
      </c>
      <c r="D73" s="29">
        <v>0.5</v>
      </c>
      <c r="E73" s="29"/>
      <c r="F73" s="39" t="s">
        <v>311</v>
      </c>
      <c r="H73" s="39">
        <v>2</v>
      </c>
      <c r="I73" s="6"/>
      <c r="J73" s="10"/>
    </row>
    <row r="74" spans="2:12" x14ac:dyDescent="0.3">
      <c r="B74" s="38" t="s">
        <v>351</v>
      </c>
      <c r="C74" s="39">
        <v>1.5</v>
      </c>
      <c r="D74" s="29">
        <v>1.5</v>
      </c>
      <c r="E74" s="29"/>
      <c r="F74" s="40" t="s">
        <v>688</v>
      </c>
      <c r="H74" s="39">
        <v>2</v>
      </c>
      <c r="I74" s="6"/>
      <c r="J74" s="10"/>
    </row>
    <row r="75" spans="2:12" x14ac:dyDescent="0.3">
      <c r="B75" s="38" t="s">
        <v>201</v>
      </c>
      <c r="C75" s="39">
        <v>4</v>
      </c>
      <c r="D75" s="29">
        <v>1</v>
      </c>
      <c r="E75" s="29"/>
      <c r="F75" s="40" t="s">
        <v>688</v>
      </c>
      <c r="H75" s="39">
        <v>0.5</v>
      </c>
      <c r="I75" s="6"/>
      <c r="J75" s="10"/>
    </row>
    <row r="76" spans="2:12" x14ac:dyDescent="0.3">
      <c r="B76" s="38" t="s">
        <v>172</v>
      </c>
      <c r="C76" s="39">
        <v>2</v>
      </c>
      <c r="D76" s="29">
        <v>0.5</v>
      </c>
      <c r="E76" s="29"/>
      <c r="F76" s="40" t="s">
        <v>688</v>
      </c>
      <c r="H76" s="39">
        <v>8</v>
      </c>
      <c r="I76" s="6"/>
      <c r="J76" s="10"/>
    </row>
    <row r="77" spans="2:12" x14ac:dyDescent="0.3">
      <c r="B77" s="38" t="s">
        <v>174</v>
      </c>
      <c r="C77" s="39">
        <v>1</v>
      </c>
      <c r="D77" s="29">
        <v>1.5</v>
      </c>
      <c r="E77" s="29"/>
      <c r="F77" s="39" t="s">
        <v>311</v>
      </c>
      <c r="H77" s="39">
        <v>0.5</v>
      </c>
      <c r="I77" s="6"/>
      <c r="J77" s="10"/>
    </row>
    <row r="78" spans="2:12" x14ac:dyDescent="0.3">
      <c r="B78" s="38" t="s">
        <v>239</v>
      </c>
      <c r="C78" s="39">
        <v>3</v>
      </c>
      <c r="D78" s="29">
        <v>0.5</v>
      </c>
      <c r="E78" s="29"/>
      <c r="F78" s="39" t="s">
        <v>311</v>
      </c>
      <c r="H78" s="39">
        <v>0.25</v>
      </c>
      <c r="I78" s="6"/>
      <c r="J78" s="10"/>
    </row>
    <row r="79" spans="2:12" x14ac:dyDescent="0.3">
      <c r="B79" s="38" t="s">
        <v>351</v>
      </c>
      <c r="C79" s="39">
        <v>1.5</v>
      </c>
      <c r="D79" s="29">
        <v>5</v>
      </c>
      <c r="E79" s="29"/>
      <c r="F79" s="40" t="s">
        <v>688</v>
      </c>
      <c r="H79" s="39">
        <v>2</v>
      </c>
      <c r="I79" s="6"/>
      <c r="J79" s="10"/>
    </row>
    <row r="80" spans="2:12" x14ac:dyDescent="0.3">
      <c r="B80" s="38" t="s">
        <v>381</v>
      </c>
      <c r="C80" s="39">
        <v>2</v>
      </c>
      <c r="D80" s="29">
        <v>1.5</v>
      </c>
      <c r="E80" s="29"/>
      <c r="F80" s="39" t="s">
        <v>311</v>
      </c>
      <c r="H80" s="39">
        <v>50</v>
      </c>
      <c r="J80" s="10"/>
    </row>
    <row r="81" spans="2:12" ht="26" x14ac:dyDescent="0.3">
      <c r="B81" s="38" t="s">
        <v>174</v>
      </c>
      <c r="C81" s="39">
        <v>1</v>
      </c>
      <c r="D81" s="29">
        <v>1</v>
      </c>
      <c r="E81" s="29"/>
      <c r="F81" s="39" t="s">
        <v>311</v>
      </c>
      <c r="H81" s="86">
        <v>3</v>
      </c>
      <c r="J81" s="47"/>
      <c r="K81" s="47"/>
      <c r="L81" s="10"/>
    </row>
    <row r="82" spans="2:12" ht="29" x14ac:dyDescent="0.35">
      <c r="B82" s="38" t="s">
        <v>186</v>
      </c>
      <c r="C82" s="39">
        <v>4.5</v>
      </c>
      <c r="D82" s="29">
        <v>1.5</v>
      </c>
      <c r="E82" s="29"/>
      <c r="F82" s="40" t="s">
        <v>688</v>
      </c>
      <c r="H82" s="47">
        <f>SUM(H10:H81)</f>
        <v>219.5</v>
      </c>
      <c r="I82" s="92">
        <f>SUM(I10:I59)</f>
        <v>185.75</v>
      </c>
      <c r="J82" s="10"/>
    </row>
    <row r="83" spans="2:12" ht="26" x14ac:dyDescent="0.3">
      <c r="B83" s="38" t="s">
        <v>639</v>
      </c>
      <c r="C83" s="39">
        <v>35</v>
      </c>
      <c r="D83" s="29">
        <v>0.25</v>
      </c>
      <c r="E83" s="29"/>
      <c r="F83" s="40" t="s">
        <v>688</v>
      </c>
      <c r="H83" s="100">
        <f>H82+I82</f>
        <v>405.25</v>
      </c>
      <c r="J83" s="10"/>
    </row>
    <row r="84" spans="2:12" x14ac:dyDescent="0.3">
      <c r="B84" s="38" t="s">
        <v>169</v>
      </c>
      <c r="C84" s="39">
        <v>2</v>
      </c>
      <c r="D84" s="29">
        <v>22</v>
      </c>
      <c r="E84" s="29"/>
      <c r="F84" s="39" t="s">
        <v>311</v>
      </c>
      <c r="J84" s="10"/>
    </row>
    <row r="85" spans="2:12" x14ac:dyDescent="0.3">
      <c r="B85" s="38" t="s">
        <v>427</v>
      </c>
      <c r="C85" s="39">
        <v>1</v>
      </c>
      <c r="D85" s="29">
        <v>0.25</v>
      </c>
      <c r="E85" s="29"/>
      <c r="F85" s="40" t="s">
        <v>688</v>
      </c>
      <c r="J85" s="10"/>
    </row>
    <row r="86" spans="2:12" x14ac:dyDescent="0.3">
      <c r="B86" s="38" t="s">
        <v>172</v>
      </c>
      <c r="C86" s="39">
        <v>2</v>
      </c>
      <c r="D86" s="29">
        <v>2</v>
      </c>
      <c r="E86" s="29"/>
      <c r="F86" s="40" t="s">
        <v>688</v>
      </c>
      <c r="J86" s="10"/>
    </row>
    <row r="87" spans="2:12" x14ac:dyDescent="0.3">
      <c r="B87" s="38" t="s">
        <v>640</v>
      </c>
      <c r="C87" s="39">
        <v>4.5</v>
      </c>
      <c r="D87" s="29">
        <v>2</v>
      </c>
      <c r="E87" s="29"/>
      <c r="F87" s="39" t="s">
        <v>311</v>
      </c>
      <c r="J87" s="10"/>
    </row>
    <row r="88" spans="2:12" x14ac:dyDescent="0.3">
      <c r="B88" s="38" t="s">
        <v>208</v>
      </c>
      <c r="C88" s="39">
        <v>1</v>
      </c>
      <c r="D88" s="29">
        <v>0.25</v>
      </c>
      <c r="E88" s="29"/>
      <c r="F88" s="39" t="s">
        <v>311</v>
      </c>
      <c r="J88" s="10"/>
    </row>
    <row r="89" spans="2:12" x14ac:dyDescent="0.3">
      <c r="B89" s="38" t="s">
        <v>611</v>
      </c>
      <c r="C89" s="39">
        <v>5</v>
      </c>
      <c r="D89" s="29">
        <v>0.5</v>
      </c>
      <c r="E89" s="29"/>
      <c r="F89" s="40" t="s">
        <v>688</v>
      </c>
      <c r="J89" s="10"/>
    </row>
    <row r="90" spans="2:12" x14ac:dyDescent="0.3">
      <c r="B90" s="38" t="s">
        <v>356</v>
      </c>
      <c r="C90" s="39">
        <v>30</v>
      </c>
      <c r="D90" s="29">
        <v>1.5</v>
      </c>
      <c r="E90" s="29"/>
      <c r="F90" s="40" t="s">
        <v>688</v>
      </c>
      <c r="J90" s="10"/>
    </row>
    <row r="91" spans="2:12" x14ac:dyDescent="0.3">
      <c r="B91" s="38" t="s">
        <v>357</v>
      </c>
      <c r="C91" s="39">
        <v>2.5</v>
      </c>
      <c r="D91" s="29">
        <v>0.25</v>
      </c>
      <c r="E91" s="29"/>
      <c r="F91" s="40" t="s">
        <v>688</v>
      </c>
      <c r="J91" s="10"/>
    </row>
    <row r="92" spans="2:12" x14ac:dyDescent="0.3">
      <c r="B92" s="38" t="s">
        <v>169</v>
      </c>
      <c r="C92" s="39">
        <v>1.5</v>
      </c>
      <c r="D92" s="29">
        <v>0.5</v>
      </c>
      <c r="E92" s="29"/>
      <c r="F92" s="40" t="s">
        <v>688</v>
      </c>
      <c r="J92" s="10"/>
    </row>
    <row r="93" spans="2:12" x14ac:dyDescent="0.3">
      <c r="B93" s="38" t="s">
        <v>641</v>
      </c>
      <c r="C93" s="39">
        <v>2.5</v>
      </c>
      <c r="D93" s="29">
        <v>0.5</v>
      </c>
      <c r="E93" s="29"/>
      <c r="F93" s="39" t="s">
        <v>311</v>
      </c>
      <c r="J93" s="10"/>
    </row>
    <row r="94" spans="2:12" x14ac:dyDescent="0.3">
      <c r="B94" s="38" t="s">
        <v>440</v>
      </c>
      <c r="C94" s="39">
        <v>30</v>
      </c>
      <c r="D94" s="29">
        <v>0.25</v>
      </c>
      <c r="E94" s="29"/>
      <c r="F94" s="40" t="s">
        <v>688</v>
      </c>
      <c r="J94" s="10"/>
    </row>
    <row r="95" spans="2:12" x14ac:dyDescent="0.3">
      <c r="B95" s="38" t="s">
        <v>357</v>
      </c>
      <c r="C95" s="39">
        <v>2</v>
      </c>
      <c r="D95" s="29">
        <v>8</v>
      </c>
      <c r="E95" s="29"/>
      <c r="F95" s="39" t="s">
        <v>311</v>
      </c>
    </row>
    <row r="96" spans="2:12" x14ac:dyDescent="0.3">
      <c r="B96" s="38" t="s">
        <v>611</v>
      </c>
      <c r="C96" s="39">
        <v>4.5</v>
      </c>
      <c r="D96" s="39">
        <v>0.25</v>
      </c>
      <c r="E96" s="39"/>
      <c r="F96" s="40" t="s">
        <v>688</v>
      </c>
    </row>
    <row r="97" spans="2:6" x14ac:dyDescent="0.3">
      <c r="B97" s="38" t="s">
        <v>246</v>
      </c>
      <c r="C97" s="39">
        <v>2</v>
      </c>
      <c r="D97" s="39">
        <v>1.25</v>
      </c>
      <c r="E97" s="39"/>
      <c r="F97" s="40" t="s">
        <v>688</v>
      </c>
    </row>
    <row r="98" spans="2:6" x14ac:dyDescent="0.3">
      <c r="B98" s="38" t="s">
        <v>400</v>
      </c>
      <c r="C98" s="39">
        <v>5</v>
      </c>
      <c r="D98" s="39">
        <v>1.5</v>
      </c>
      <c r="E98" s="39"/>
      <c r="F98" s="39" t="s">
        <v>311</v>
      </c>
    </row>
    <row r="99" spans="2:6" x14ac:dyDescent="0.3">
      <c r="B99" s="38" t="s">
        <v>262</v>
      </c>
      <c r="C99" s="39">
        <v>15</v>
      </c>
      <c r="D99" s="39">
        <v>6</v>
      </c>
      <c r="E99" s="39"/>
      <c r="F99" s="40" t="s">
        <v>688</v>
      </c>
    </row>
    <row r="100" spans="2:6" x14ac:dyDescent="0.3">
      <c r="B100" s="38" t="s">
        <v>387</v>
      </c>
      <c r="C100" s="39">
        <v>17</v>
      </c>
      <c r="D100" s="39">
        <v>28</v>
      </c>
      <c r="E100" s="39"/>
      <c r="F100" s="39" t="s">
        <v>311</v>
      </c>
    </row>
    <row r="101" spans="2:6" x14ac:dyDescent="0.3">
      <c r="B101" s="38" t="s">
        <v>642</v>
      </c>
      <c r="C101" s="39">
        <v>5</v>
      </c>
      <c r="D101" s="39">
        <v>3</v>
      </c>
      <c r="E101" s="39"/>
      <c r="F101" s="40" t="s">
        <v>688</v>
      </c>
    </row>
    <row r="102" spans="2:6" x14ac:dyDescent="0.3">
      <c r="B102" s="38" t="s">
        <v>643</v>
      </c>
      <c r="C102" s="39">
        <v>6</v>
      </c>
      <c r="D102" s="39">
        <v>1</v>
      </c>
      <c r="E102" s="39"/>
      <c r="F102" s="40" t="s">
        <v>688</v>
      </c>
    </row>
    <row r="103" spans="2:6" x14ac:dyDescent="0.3">
      <c r="B103" s="38" t="s">
        <v>348</v>
      </c>
      <c r="C103" s="39">
        <v>2</v>
      </c>
      <c r="D103" s="39">
        <v>2</v>
      </c>
      <c r="E103" s="39"/>
      <c r="F103" s="39" t="s">
        <v>311</v>
      </c>
    </row>
    <row r="104" spans="2:6" x14ac:dyDescent="0.3">
      <c r="B104" s="38" t="s">
        <v>629</v>
      </c>
      <c r="C104" s="39">
        <v>3.5</v>
      </c>
      <c r="D104" s="39">
        <v>0.25</v>
      </c>
      <c r="E104" s="39"/>
      <c r="F104" s="40" t="s">
        <v>688</v>
      </c>
    </row>
    <row r="105" spans="2:6" x14ac:dyDescent="0.3">
      <c r="B105" s="38" t="s">
        <v>227</v>
      </c>
      <c r="C105" s="39">
        <v>2.5</v>
      </c>
      <c r="D105" s="39">
        <v>0.25</v>
      </c>
      <c r="E105" s="39"/>
      <c r="F105" s="40" t="s">
        <v>688</v>
      </c>
    </row>
    <row r="106" spans="2:6" x14ac:dyDescent="0.3">
      <c r="B106" s="38" t="s">
        <v>644</v>
      </c>
      <c r="C106" s="39">
        <v>4</v>
      </c>
      <c r="D106" s="39">
        <v>0.75</v>
      </c>
      <c r="E106" s="39"/>
      <c r="F106" s="39" t="s">
        <v>311</v>
      </c>
    </row>
    <row r="107" spans="2:6" x14ac:dyDescent="0.3">
      <c r="B107" s="38" t="s">
        <v>645</v>
      </c>
      <c r="C107" s="39">
        <v>4.5</v>
      </c>
      <c r="D107" s="39">
        <v>0.25</v>
      </c>
      <c r="E107" s="39"/>
      <c r="F107" s="39" t="s">
        <v>311</v>
      </c>
    </row>
    <row r="108" spans="2:6" x14ac:dyDescent="0.3">
      <c r="B108" s="38" t="s">
        <v>186</v>
      </c>
      <c r="C108" s="39">
        <v>4.5</v>
      </c>
      <c r="D108" s="39">
        <v>1</v>
      </c>
      <c r="E108" s="39"/>
      <c r="F108" s="40" t="s">
        <v>688</v>
      </c>
    </row>
    <row r="109" spans="2:6" x14ac:dyDescent="0.3">
      <c r="B109" s="38" t="s">
        <v>646</v>
      </c>
      <c r="C109" s="39">
        <v>30</v>
      </c>
      <c r="D109" s="39">
        <v>2</v>
      </c>
      <c r="E109" s="39"/>
      <c r="F109" s="39" t="s">
        <v>311</v>
      </c>
    </row>
    <row r="110" spans="2:6" x14ac:dyDescent="0.3">
      <c r="B110" s="38" t="s">
        <v>262</v>
      </c>
      <c r="C110" s="39">
        <v>15</v>
      </c>
      <c r="D110" s="39">
        <v>1.5</v>
      </c>
      <c r="E110" s="39"/>
      <c r="F110" s="40" t="s">
        <v>688</v>
      </c>
    </row>
    <row r="111" spans="2:6" x14ac:dyDescent="0.3">
      <c r="B111" s="38" t="s">
        <v>357</v>
      </c>
      <c r="C111" s="39">
        <v>2</v>
      </c>
      <c r="D111" s="39">
        <v>2</v>
      </c>
      <c r="E111" s="39"/>
      <c r="F111" s="40" t="s">
        <v>688</v>
      </c>
    </row>
    <row r="112" spans="2:6" x14ac:dyDescent="0.3">
      <c r="B112" s="38" t="s">
        <v>611</v>
      </c>
      <c r="C112" s="39">
        <v>4.5</v>
      </c>
      <c r="D112" s="39">
        <v>3</v>
      </c>
      <c r="E112" s="39"/>
      <c r="F112" s="39" t="s">
        <v>311</v>
      </c>
    </row>
    <row r="113" spans="2:6" x14ac:dyDescent="0.3">
      <c r="B113" s="38" t="s">
        <v>647</v>
      </c>
      <c r="C113" s="39">
        <v>2</v>
      </c>
      <c r="D113" s="39">
        <v>2</v>
      </c>
      <c r="E113" s="39"/>
      <c r="F113" s="40" t="s">
        <v>688</v>
      </c>
    </row>
    <row r="114" spans="2:6" x14ac:dyDescent="0.3">
      <c r="B114" s="38" t="s">
        <v>648</v>
      </c>
      <c r="C114" s="39">
        <v>4.5</v>
      </c>
      <c r="D114" s="39">
        <v>0.5</v>
      </c>
      <c r="E114" s="39"/>
      <c r="F114" s="40" t="s">
        <v>688</v>
      </c>
    </row>
    <row r="115" spans="2:6" x14ac:dyDescent="0.3">
      <c r="B115" s="38" t="s">
        <v>630</v>
      </c>
      <c r="C115" s="39">
        <v>4</v>
      </c>
      <c r="D115" s="39">
        <v>1.5</v>
      </c>
      <c r="E115" s="39"/>
      <c r="F115" s="39" t="s">
        <v>311</v>
      </c>
    </row>
    <row r="116" spans="2:6" x14ac:dyDescent="0.3">
      <c r="B116" s="38" t="s">
        <v>464</v>
      </c>
      <c r="C116" s="39">
        <v>4</v>
      </c>
      <c r="D116" s="39">
        <v>0.75</v>
      </c>
      <c r="E116" s="39"/>
      <c r="F116" s="39" t="s">
        <v>311</v>
      </c>
    </row>
    <row r="117" spans="2:6" x14ac:dyDescent="0.3">
      <c r="B117" s="38" t="s">
        <v>649</v>
      </c>
      <c r="C117" s="39">
        <v>2</v>
      </c>
      <c r="D117" s="39">
        <v>8</v>
      </c>
      <c r="E117" s="39"/>
      <c r="F117" s="40" t="s">
        <v>688</v>
      </c>
    </row>
    <row r="118" spans="2:6" x14ac:dyDescent="0.3">
      <c r="B118" s="38" t="s">
        <v>650</v>
      </c>
      <c r="C118" s="39">
        <v>4.5</v>
      </c>
      <c r="D118" s="39">
        <v>0.5</v>
      </c>
      <c r="E118" s="39"/>
      <c r="F118" s="40" t="s">
        <v>688</v>
      </c>
    </row>
    <row r="119" spans="2:6" x14ac:dyDescent="0.3">
      <c r="B119" s="38" t="s">
        <v>651</v>
      </c>
      <c r="C119" s="39">
        <v>3</v>
      </c>
      <c r="D119" s="39">
        <v>1</v>
      </c>
      <c r="E119" s="39"/>
      <c r="F119" s="39" t="s">
        <v>311</v>
      </c>
    </row>
    <row r="120" spans="2:6" x14ac:dyDescent="0.3">
      <c r="B120" s="38" t="s">
        <v>400</v>
      </c>
      <c r="C120" s="39">
        <v>5</v>
      </c>
      <c r="D120" s="39">
        <v>0.25</v>
      </c>
      <c r="E120" s="39"/>
      <c r="F120" s="40" t="s">
        <v>688</v>
      </c>
    </row>
    <row r="121" spans="2:6" x14ac:dyDescent="0.3">
      <c r="B121" s="38" t="s">
        <v>201</v>
      </c>
      <c r="C121" s="39">
        <v>2.5</v>
      </c>
      <c r="D121" s="39">
        <v>3</v>
      </c>
      <c r="E121" s="39"/>
      <c r="F121" s="39" t="s">
        <v>311</v>
      </c>
    </row>
    <row r="122" spans="2:6" x14ac:dyDescent="0.3">
      <c r="B122" s="38" t="s">
        <v>652</v>
      </c>
      <c r="C122" s="39">
        <v>6</v>
      </c>
      <c r="D122" s="39">
        <v>2.5</v>
      </c>
      <c r="E122" s="39"/>
      <c r="F122" s="39" t="s">
        <v>311</v>
      </c>
    </row>
    <row r="123" spans="2:6" x14ac:dyDescent="0.3">
      <c r="B123" s="38" t="s">
        <v>651</v>
      </c>
      <c r="C123" s="39">
        <v>3.25</v>
      </c>
      <c r="D123" s="39">
        <v>0.5</v>
      </c>
      <c r="E123" s="39"/>
      <c r="F123" s="40" t="s">
        <v>688</v>
      </c>
    </row>
    <row r="124" spans="2:6" x14ac:dyDescent="0.3">
      <c r="B124" s="38" t="s">
        <v>348</v>
      </c>
      <c r="C124" s="39">
        <v>0.5</v>
      </c>
      <c r="D124" s="39">
        <v>0.5</v>
      </c>
      <c r="E124" s="39"/>
      <c r="F124" s="39" t="s">
        <v>311</v>
      </c>
    </row>
    <row r="125" spans="2:6" x14ac:dyDescent="0.3">
      <c r="B125" s="38" t="s">
        <v>653</v>
      </c>
      <c r="C125" s="39">
        <v>0.5</v>
      </c>
      <c r="D125" s="39">
        <v>2</v>
      </c>
      <c r="E125" s="39"/>
      <c r="F125" s="40" t="s">
        <v>688</v>
      </c>
    </row>
    <row r="126" spans="2:6" x14ac:dyDescent="0.3">
      <c r="B126" s="38" t="s">
        <v>629</v>
      </c>
      <c r="C126" s="39">
        <v>3</v>
      </c>
      <c r="D126" s="39">
        <v>1.5</v>
      </c>
      <c r="E126" s="39"/>
      <c r="F126" s="39" t="s">
        <v>311</v>
      </c>
    </row>
    <row r="127" spans="2:6" x14ac:dyDescent="0.3">
      <c r="B127" s="38" t="s">
        <v>381</v>
      </c>
      <c r="C127" s="39">
        <v>4</v>
      </c>
      <c r="D127" s="39">
        <v>60</v>
      </c>
      <c r="E127" s="39"/>
      <c r="F127" s="40" t="s">
        <v>688</v>
      </c>
    </row>
    <row r="128" spans="2:6" x14ac:dyDescent="0.3">
      <c r="B128" s="38" t="s">
        <v>654</v>
      </c>
      <c r="C128" s="39">
        <v>4</v>
      </c>
      <c r="D128" s="39"/>
      <c r="E128" s="39"/>
      <c r="F128" s="39"/>
    </row>
    <row r="129" spans="2:6" x14ac:dyDescent="0.3">
      <c r="B129" s="38" t="s">
        <v>172</v>
      </c>
      <c r="C129" s="39">
        <v>2</v>
      </c>
      <c r="D129" s="39"/>
      <c r="E129" s="39"/>
      <c r="F129" s="39"/>
    </row>
    <row r="130" spans="2:6" x14ac:dyDescent="0.3">
      <c r="B130" s="38" t="s">
        <v>174</v>
      </c>
      <c r="C130" s="39">
        <v>1</v>
      </c>
      <c r="D130" s="39"/>
      <c r="E130" s="39"/>
      <c r="F130" s="39"/>
    </row>
    <row r="131" spans="2:6" x14ac:dyDescent="0.3">
      <c r="B131" s="38" t="s">
        <v>172</v>
      </c>
      <c r="C131" s="39">
        <v>3.25</v>
      </c>
      <c r="D131" s="39"/>
      <c r="E131" s="39"/>
      <c r="F131" s="39"/>
    </row>
    <row r="132" spans="2:6" x14ac:dyDescent="0.3">
      <c r="B132" s="38" t="s">
        <v>655</v>
      </c>
      <c r="C132" s="39">
        <v>4.5</v>
      </c>
      <c r="D132" s="39"/>
      <c r="E132" s="39"/>
      <c r="F132" s="39"/>
    </row>
    <row r="133" spans="2:6" x14ac:dyDescent="0.3">
      <c r="B133" s="38" t="s">
        <v>656</v>
      </c>
      <c r="C133" s="39">
        <v>17.5</v>
      </c>
      <c r="D133" s="39"/>
      <c r="E133" s="39"/>
      <c r="F133" s="39"/>
    </row>
    <row r="134" spans="2:6" x14ac:dyDescent="0.3">
      <c r="B134" s="38" t="s">
        <v>645</v>
      </c>
      <c r="C134" s="39">
        <v>4.5</v>
      </c>
      <c r="D134" s="39"/>
      <c r="E134" s="39"/>
      <c r="F134" s="39"/>
    </row>
    <row r="135" spans="2:6" x14ac:dyDescent="0.3">
      <c r="B135" s="38" t="s">
        <v>657</v>
      </c>
      <c r="C135" s="39">
        <v>6</v>
      </c>
      <c r="D135" s="39"/>
      <c r="E135" s="39"/>
      <c r="F135" s="39"/>
    </row>
    <row r="136" spans="2:6" x14ac:dyDescent="0.3">
      <c r="B136" s="38" t="s">
        <v>658</v>
      </c>
      <c r="C136" s="39">
        <v>2.5</v>
      </c>
      <c r="D136" s="39"/>
      <c r="E136" s="39"/>
      <c r="F136" s="39"/>
    </row>
    <row r="137" spans="2:6" x14ac:dyDescent="0.3">
      <c r="B137" s="38" t="s">
        <v>221</v>
      </c>
      <c r="C137" s="39">
        <v>1.5</v>
      </c>
      <c r="D137" s="39"/>
      <c r="E137" s="39"/>
      <c r="F137" s="39"/>
    </row>
    <row r="138" spans="2:6" x14ac:dyDescent="0.3">
      <c r="B138" s="38" t="s">
        <v>611</v>
      </c>
      <c r="C138" s="39">
        <v>4.5</v>
      </c>
      <c r="D138" s="39"/>
      <c r="E138" s="39"/>
      <c r="F138" s="39"/>
    </row>
    <row r="139" spans="2:6" x14ac:dyDescent="0.3">
      <c r="B139" s="38" t="s">
        <v>659</v>
      </c>
      <c r="C139" s="39">
        <v>2.5</v>
      </c>
      <c r="D139" s="39"/>
      <c r="E139" s="39"/>
      <c r="F139" s="39"/>
    </row>
    <row r="140" spans="2:6" x14ac:dyDescent="0.3">
      <c r="B140" s="38" t="s">
        <v>612</v>
      </c>
      <c r="C140" s="39">
        <v>1.5</v>
      </c>
      <c r="D140" s="39"/>
      <c r="E140" s="39"/>
      <c r="F140" s="39"/>
    </row>
    <row r="141" spans="2:6" x14ac:dyDescent="0.3">
      <c r="B141" s="38" t="s">
        <v>660</v>
      </c>
      <c r="C141" s="39">
        <v>2.5</v>
      </c>
      <c r="D141" s="39"/>
      <c r="E141" s="39"/>
      <c r="F141" s="39"/>
    </row>
    <row r="142" spans="2:6" x14ac:dyDescent="0.3">
      <c r="B142" s="38" t="s">
        <v>661</v>
      </c>
      <c r="C142" s="39">
        <v>4</v>
      </c>
      <c r="D142" s="39"/>
      <c r="E142" s="39"/>
      <c r="F142" s="39"/>
    </row>
    <row r="143" spans="2:6" x14ac:dyDescent="0.3">
      <c r="B143" s="38" t="s">
        <v>662</v>
      </c>
      <c r="C143" s="39">
        <v>1.5</v>
      </c>
      <c r="D143" s="39"/>
      <c r="E143" s="39"/>
      <c r="F143" s="39"/>
    </row>
    <row r="144" spans="2:6" x14ac:dyDescent="0.3">
      <c r="B144" s="38" t="s">
        <v>663</v>
      </c>
      <c r="C144" s="39">
        <v>6</v>
      </c>
      <c r="D144" s="39"/>
      <c r="E144" s="39"/>
      <c r="F144" s="39"/>
    </row>
    <row r="145" spans="2:6" x14ac:dyDescent="0.3">
      <c r="B145" s="38" t="s">
        <v>172</v>
      </c>
      <c r="C145" s="39">
        <v>2</v>
      </c>
      <c r="D145" s="39"/>
      <c r="E145" s="39"/>
      <c r="F145" s="39"/>
    </row>
    <row r="146" spans="2:6" x14ac:dyDescent="0.3">
      <c r="B146" s="38" t="s">
        <v>664</v>
      </c>
      <c r="C146" s="39">
        <v>5</v>
      </c>
      <c r="D146" s="39"/>
      <c r="E146" s="39"/>
      <c r="F146" s="39"/>
    </row>
    <row r="147" spans="2:6" x14ac:dyDescent="0.3">
      <c r="B147" s="38" t="s">
        <v>181</v>
      </c>
      <c r="C147" s="39">
        <v>2</v>
      </c>
      <c r="D147" s="39"/>
      <c r="E147" s="39"/>
      <c r="F147" s="39"/>
    </row>
    <row r="148" spans="2:6" x14ac:dyDescent="0.3">
      <c r="B148" s="38" t="s">
        <v>665</v>
      </c>
      <c r="C148" s="39">
        <v>3.5</v>
      </c>
      <c r="D148" s="39"/>
      <c r="E148" s="39"/>
      <c r="F148" s="39"/>
    </row>
    <row r="149" spans="2:6" x14ac:dyDescent="0.3">
      <c r="B149" s="38" t="s">
        <v>367</v>
      </c>
      <c r="C149" s="39">
        <v>4</v>
      </c>
      <c r="D149" s="39"/>
      <c r="E149" s="39"/>
      <c r="F149" s="39"/>
    </row>
    <row r="150" spans="2:6" x14ac:dyDescent="0.3">
      <c r="B150" s="38" t="s">
        <v>155</v>
      </c>
      <c r="C150" s="39">
        <v>2</v>
      </c>
      <c r="D150" s="39"/>
      <c r="E150" s="39"/>
      <c r="F150" s="39"/>
    </row>
    <row r="151" spans="2:6" x14ac:dyDescent="0.3">
      <c r="B151" s="38" t="s">
        <v>611</v>
      </c>
      <c r="C151" s="39">
        <v>4.5</v>
      </c>
      <c r="D151" s="39"/>
      <c r="E151" s="39"/>
      <c r="F151" s="39"/>
    </row>
    <row r="152" spans="2:6" x14ac:dyDescent="0.3">
      <c r="B152" s="38" t="s">
        <v>623</v>
      </c>
      <c r="C152" s="39">
        <v>3</v>
      </c>
      <c r="D152" s="39"/>
      <c r="E152" s="39"/>
      <c r="F152" s="39"/>
    </row>
    <row r="153" spans="2:6" x14ac:dyDescent="0.3">
      <c r="B153" s="38" t="s">
        <v>639</v>
      </c>
      <c r="C153" s="39">
        <v>35</v>
      </c>
      <c r="D153" s="39"/>
      <c r="E153" s="39"/>
      <c r="F153" s="39"/>
    </row>
    <row r="154" spans="2:6" x14ac:dyDescent="0.3">
      <c r="B154" s="38" t="s">
        <v>666</v>
      </c>
      <c r="C154" s="39">
        <v>2</v>
      </c>
      <c r="D154" s="39"/>
      <c r="E154" s="39"/>
      <c r="F154" s="39"/>
    </row>
    <row r="155" spans="2:6" x14ac:dyDescent="0.3">
      <c r="B155" s="38" t="s">
        <v>618</v>
      </c>
      <c r="C155" s="39">
        <v>5</v>
      </c>
      <c r="D155" s="39"/>
      <c r="E155" s="39"/>
      <c r="F155" s="39"/>
    </row>
    <row r="156" spans="2:6" x14ac:dyDescent="0.3">
      <c r="B156" s="38" t="s">
        <v>647</v>
      </c>
      <c r="C156" s="39">
        <v>2.5</v>
      </c>
      <c r="D156" s="39"/>
      <c r="E156" s="39"/>
      <c r="F156" s="39"/>
    </row>
    <row r="157" spans="2:6" x14ac:dyDescent="0.3">
      <c r="B157" s="38" t="s">
        <v>242</v>
      </c>
      <c r="C157" s="39">
        <v>1.5</v>
      </c>
      <c r="D157" s="39"/>
      <c r="E157" s="39"/>
      <c r="F157" s="39"/>
    </row>
    <row r="158" spans="2:6" x14ac:dyDescent="0.3">
      <c r="B158" s="38" t="s">
        <v>184</v>
      </c>
      <c r="C158" s="39">
        <v>1.25</v>
      </c>
      <c r="D158" s="39"/>
      <c r="E158" s="39"/>
      <c r="F158" s="39"/>
    </row>
    <row r="159" spans="2:6" x14ac:dyDescent="0.3">
      <c r="B159" s="38" t="s">
        <v>629</v>
      </c>
      <c r="C159" s="39">
        <v>3</v>
      </c>
      <c r="D159" s="39"/>
      <c r="E159" s="39"/>
      <c r="F159" s="39"/>
    </row>
    <row r="160" spans="2:6" x14ac:dyDescent="0.3">
      <c r="B160" s="38" t="s">
        <v>611</v>
      </c>
      <c r="C160" s="39">
        <v>4.75</v>
      </c>
      <c r="D160" s="39"/>
      <c r="E160" s="39"/>
      <c r="F160" s="39"/>
    </row>
    <row r="161" spans="2:6" x14ac:dyDescent="0.3">
      <c r="B161" s="38" t="s">
        <v>667</v>
      </c>
      <c r="C161" s="39">
        <v>13</v>
      </c>
      <c r="D161" s="39"/>
      <c r="E161" s="39"/>
      <c r="F161" s="39"/>
    </row>
    <row r="162" spans="2:6" x14ac:dyDescent="0.3">
      <c r="B162" s="38" t="s">
        <v>651</v>
      </c>
      <c r="C162" s="39">
        <v>3</v>
      </c>
      <c r="D162" s="39"/>
      <c r="E162" s="39"/>
      <c r="F162" s="39"/>
    </row>
    <row r="163" spans="2:6" x14ac:dyDescent="0.3">
      <c r="B163" s="38" t="s">
        <v>611</v>
      </c>
      <c r="C163" s="39">
        <v>4.75</v>
      </c>
      <c r="D163" s="39"/>
      <c r="E163" s="39"/>
      <c r="F163" s="39"/>
    </row>
    <row r="164" spans="2:6" x14ac:dyDescent="0.3">
      <c r="B164" s="38" t="s">
        <v>606</v>
      </c>
      <c r="C164" s="39">
        <v>0.5</v>
      </c>
      <c r="D164" s="39"/>
      <c r="E164" s="39"/>
      <c r="F164" s="39"/>
    </row>
    <row r="165" spans="2:6" x14ac:dyDescent="0.3">
      <c r="B165" s="38" t="s">
        <v>396</v>
      </c>
      <c r="C165" s="39">
        <v>4</v>
      </c>
      <c r="D165" s="39"/>
      <c r="E165" s="39"/>
      <c r="F165" s="39"/>
    </row>
    <row r="166" spans="2:6" x14ac:dyDescent="0.3">
      <c r="B166" s="38" t="s">
        <v>221</v>
      </c>
      <c r="C166" s="39">
        <v>1.5</v>
      </c>
      <c r="D166" s="39"/>
      <c r="E166" s="39"/>
      <c r="F166" s="39"/>
    </row>
    <row r="167" spans="2:6" x14ac:dyDescent="0.3">
      <c r="B167" s="38" t="s">
        <v>606</v>
      </c>
      <c r="C167" s="39">
        <v>0.5</v>
      </c>
      <c r="D167" s="39"/>
      <c r="E167" s="39"/>
      <c r="F167" s="39"/>
    </row>
    <row r="168" spans="2:6" x14ac:dyDescent="0.3">
      <c r="B168" s="38" t="s">
        <v>606</v>
      </c>
      <c r="C168" s="39">
        <v>0.5</v>
      </c>
      <c r="D168" s="39"/>
      <c r="E168" s="39"/>
      <c r="F168" s="39"/>
    </row>
    <row r="169" spans="2:6" x14ac:dyDescent="0.3">
      <c r="B169" s="38" t="s">
        <v>668</v>
      </c>
      <c r="C169" s="39">
        <v>6.25</v>
      </c>
      <c r="D169" s="39"/>
      <c r="E169" s="39"/>
      <c r="F169" s="39"/>
    </row>
    <row r="170" spans="2:6" x14ac:dyDescent="0.3">
      <c r="B170" s="38" t="s">
        <v>248</v>
      </c>
      <c r="C170" s="39">
        <v>4</v>
      </c>
      <c r="D170" s="39"/>
      <c r="E170" s="39"/>
      <c r="F170" s="39"/>
    </row>
    <row r="171" spans="2:6" x14ac:dyDescent="0.3">
      <c r="B171" s="38" t="s">
        <v>237</v>
      </c>
      <c r="C171" s="39">
        <v>2.5</v>
      </c>
      <c r="D171" s="39"/>
      <c r="E171" s="39"/>
      <c r="F171" s="39"/>
    </row>
    <row r="172" spans="2:6" x14ac:dyDescent="0.3">
      <c r="B172" s="38" t="s">
        <v>647</v>
      </c>
      <c r="C172" s="39">
        <v>2</v>
      </c>
      <c r="D172" s="39"/>
      <c r="E172" s="39"/>
      <c r="F172" s="39"/>
    </row>
    <row r="173" spans="2:6" x14ac:dyDescent="0.3">
      <c r="B173" s="38" t="s">
        <v>262</v>
      </c>
      <c r="C173" s="39">
        <v>15</v>
      </c>
      <c r="D173" s="39"/>
      <c r="E173" s="39"/>
      <c r="F173" s="39"/>
    </row>
    <row r="174" spans="2:6" x14ac:dyDescent="0.3">
      <c r="B174" s="38" t="s">
        <v>669</v>
      </c>
      <c r="C174" s="39">
        <v>6</v>
      </c>
      <c r="D174" s="39"/>
      <c r="E174" s="39"/>
      <c r="F174" s="39"/>
    </row>
    <row r="175" spans="2:6" x14ac:dyDescent="0.3">
      <c r="B175" s="38" t="s">
        <v>647</v>
      </c>
      <c r="C175" s="39">
        <v>2</v>
      </c>
      <c r="D175" s="39"/>
      <c r="E175" s="39"/>
      <c r="F175" s="39"/>
    </row>
    <row r="176" spans="2:6" x14ac:dyDescent="0.3">
      <c r="B176" s="38" t="s">
        <v>670</v>
      </c>
      <c r="C176" s="39">
        <v>3</v>
      </c>
      <c r="D176" s="39"/>
      <c r="E176" s="39"/>
      <c r="F176" s="39"/>
    </row>
    <row r="177" spans="2:6" x14ac:dyDescent="0.3">
      <c r="B177" s="38" t="s">
        <v>611</v>
      </c>
      <c r="C177" s="39">
        <v>4.75</v>
      </c>
      <c r="D177" s="39"/>
      <c r="E177" s="39"/>
      <c r="F177" s="39"/>
    </row>
    <row r="178" spans="2:6" x14ac:dyDescent="0.3">
      <c r="B178" s="38" t="s">
        <v>650</v>
      </c>
      <c r="C178" s="39">
        <v>4.75</v>
      </c>
      <c r="D178" s="39"/>
      <c r="E178" s="39"/>
      <c r="F178" s="39"/>
    </row>
    <row r="179" spans="2:6" x14ac:dyDescent="0.3">
      <c r="B179" s="38" t="s">
        <v>239</v>
      </c>
      <c r="C179" s="39">
        <v>3</v>
      </c>
      <c r="D179" s="39"/>
      <c r="E179" s="39"/>
      <c r="F179" s="39"/>
    </row>
    <row r="180" spans="2:6" x14ac:dyDescent="0.3">
      <c r="B180" s="38" t="s">
        <v>225</v>
      </c>
      <c r="C180" s="39">
        <v>4</v>
      </c>
      <c r="D180" s="39"/>
      <c r="E180" s="39"/>
      <c r="F180" s="39"/>
    </row>
    <row r="181" spans="2:6" x14ac:dyDescent="0.3">
      <c r="B181" s="38" t="s">
        <v>671</v>
      </c>
      <c r="C181" s="39">
        <v>6</v>
      </c>
      <c r="D181" s="39"/>
      <c r="E181" s="39"/>
      <c r="F181" s="39"/>
    </row>
    <row r="182" spans="2:6" x14ac:dyDescent="0.3">
      <c r="B182" s="38" t="s">
        <v>672</v>
      </c>
      <c r="C182" s="39">
        <v>4</v>
      </c>
      <c r="D182" s="39"/>
      <c r="E182" s="39"/>
      <c r="F182" s="39"/>
    </row>
    <row r="183" spans="2:6" x14ac:dyDescent="0.3">
      <c r="B183" s="38" t="s">
        <v>400</v>
      </c>
      <c r="C183" s="39">
        <v>5</v>
      </c>
      <c r="D183" s="39"/>
      <c r="E183" s="39"/>
      <c r="F183" s="39"/>
    </row>
    <row r="184" spans="2:6" x14ac:dyDescent="0.3">
      <c r="B184" s="38" t="s">
        <v>673</v>
      </c>
      <c r="C184" s="39">
        <v>1.5</v>
      </c>
      <c r="D184" s="39"/>
      <c r="E184" s="39"/>
      <c r="F184" s="39"/>
    </row>
    <row r="185" spans="2:6" x14ac:dyDescent="0.3">
      <c r="B185" s="38" t="s">
        <v>226</v>
      </c>
      <c r="C185" s="39">
        <v>2.5</v>
      </c>
      <c r="D185" s="39"/>
      <c r="E185" s="39"/>
      <c r="F185" s="39"/>
    </row>
    <row r="186" spans="2:6" x14ac:dyDescent="0.3">
      <c r="B186" s="38" t="s">
        <v>211</v>
      </c>
      <c r="C186" s="39">
        <v>2</v>
      </c>
      <c r="D186" s="39"/>
      <c r="E186" s="39"/>
      <c r="F186" s="39"/>
    </row>
    <row r="187" spans="2:6" x14ac:dyDescent="0.3">
      <c r="B187" s="38" t="s">
        <v>242</v>
      </c>
      <c r="C187" s="39">
        <v>1.75</v>
      </c>
      <c r="D187" s="39"/>
      <c r="E187" s="39"/>
      <c r="F187" s="39"/>
    </row>
    <row r="188" spans="2:6" x14ac:dyDescent="0.3">
      <c r="B188" s="38" t="s">
        <v>674</v>
      </c>
      <c r="C188" s="39">
        <v>0.5</v>
      </c>
      <c r="D188" s="39"/>
      <c r="E188" s="39"/>
      <c r="F188" s="39"/>
    </row>
    <row r="189" spans="2:6" x14ac:dyDescent="0.3">
      <c r="B189" s="38" t="s">
        <v>675</v>
      </c>
      <c r="C189" s="39">
        <v>1</v>
      </c>
      <c r="D189" s="39"/>
      <c r="E189" s="39"/>
      <c r="F189" s="39"/>
    </row>
    <row r="190" spans="2:6" x14ac:dyDescent="0.3">
      <c r="B190" s="38" t="s">
        <v>676</v>
      </c>
      <c r="C190" s="39">
        <v>2.5</v>
      </c>
      <c r="D190" s="39"/>
      <c r="E190" s="39"/>
      <c r="F190" s="39"/>
    </row>
    <row r="191" spans="2:6" x14ac:dyDescent="0.3">
      <c r="B191" s="38" t="s">
        <v>155</v>
      </c>
      <c r="C191" s="39">
        <v>2.5</v>
      </c>
      <c r="D191" s="39"/>
      <c r="E191" s="39"/>
      <c r="F191" s="39"/>
    </row>
    <row r="192" spans="2:6" x14ac:dyDescent="0.3">
      <c r="B192" s="38" t="s">
        <v>589</v>
      </c>
      <c r="C192" s="39">
        <v>5</v>
      </c>
      <c r="D192" s="39"/>
      <c r="E192" s="39"/>
      <c r="F192" s="39"/>
    </row>
    <row r="193" spans="2:6" x14ac:dyDescent="0.3">
      <c r="B193" s="38" t="s">
        <v>650</v>
      </c>
      <c r="C193" s="39">
        <v>4.75</v>
      </c>
      <c r="D193" s="39"/>
      <c r="E193" s="39"/>
      <c r="F193" s="39"/>
    </row>
    <row r="194" spans="2:6" x14ac:dyDescent="0.3">
      <c r="B194" s="38" t="s">
        <v>650</v>
      </c>
      <c r="C194" s="39">
        <v>4.75</v>
      </c>
      <c r="D194" s="39"/>
      <c r="E194" s="39"/>
      <c r="F194" s="39"/>
    </row>
    <row r="195" spans="2:6" x14ac:dyDescent="0.3">
      <c r="B195" s="38" t="s">
        <v>677</v>
      </c>
      <c r="C195" s="39">
        <v>6.25</v>
      </c>
      <c r="D195" s="39"/>
      <c r="E195" s="39"/>
      <c r="F195" s="39"/>
    </row>
    <row r="196" spans="2:6" x14ac:dyDescent="0.3">
      <c r="B196" s="38" t="s">
        <v>650</v>
      </c>
      <c r="C196" s="39">
        <v>4.75</v>
      </c>
      <c r="D196" s="39"/>
      <c r="E196" s="39"/>
      <c r="F196" s="39"/>
    </row>
    <row r="197" spans="2:6" x14ac:dyDescent="0.3">
      <c r="B197" s="38" t="s">
        <v>396</v>
      </c>
      <c r="C197" s="39">
        <v>4</v>
      </c>
      <c r="D197" s="39"/>
      <c r="E197" s="39"/>
      <c r="F197" s="39"/>
    </row>
    <row r="198" spans="2:6" x14ac:dyDescent="0.3">
      <c r="B198" s="38" t="s">
        <v>654</v>
      </c>
      <c r="C198" s="39">
        <v>4</v>
      </c>
      <c r="D198" s="39"/>
      <c r="E198" s="39"/>
      <c r="F198" s="39"/>
    </row>
    <row r="199" spans="2:6" x14ac:dyDescent="0.3">
      <c r="B199" s="38" t="s">
        <v>678</v>
      </c>
      <c r="C199" s="39">
        <v>4</v>
      </c>
      <c r="D199" s="39"/>
      <c r="E199" s="39"/>
      <c r="F199" s="39"/>
    </row>
    <row r="200" spans="2:6" x14ac:dyDescent="0.3">
      <c r="B200" s="38" t="s">
        <v>611</v>
      </c>
      <c r="C200" s="39">
        <v>4.75</v>
      </c>
      <c r="D200" s="39"/>
      <c r="E200" s="39"/>
      <c r="F200" s="39"/>
    </row>
    <row r="201" spans="2:6" x14ac:dyDescent="0.3">
      <c r="B201" s="38" t="s">
        <v>239</v>
      </c>
      <c r="C201" s="39">
        <v>3</v>
      </c>
      <c r="D201" s="39"/>
      <c r="E201" s="39"/>
      <c r="F201" s="39"/>
    </row>
    <row r="202" spans="2:6" x14ac:dyDescent="0.3">
      <c r="B202" s="38" t="s">
        <v>679</v>
      </c>
      <c r="C202" s="39">
        <v>4.5</v>
      </c>
      <c r="D202" s="39"/>
      <c r="E202" s="39"/>
      <c r="F202" s="39"/>
    </row>
    <row r="203" spans="2:6" x14ac:dyDescent="0.3">
      <c r="B203" s="38" t="s">
        <v>253</v>
      </c>
      <c r="C203" s="39">
        <v>2.5</v>
      </c>
      <c r="D203" s="39"/>
      <c r="E203" s="39"/>
      <c r="F203" s="39"/>
    </row>
    <row r="204" spans="2:6" x14ac:dyDescent="0.3">
      <c r="B204" s="38" t="s">
        <v>677</v>
      </c>
      <c r="C204" s="39">
        <v>6.25</v>
      </c>
      <c r="D204" s="39"/>
      <c r="E204" s="39"/>
      <c r="F204" s="39"/>
    </row>
    <row r="205" spans="2:6" x14ac:dyDescent="0.3">
      <c r="B205" s="38" t="s">
        <v>262</v>
      </c>
      <c r="C205" s="39">
        <v>15</v>
      </c>
      <c r="D205" s="39"/>
      <c r="E205" s="39"/>
      <c r="F205" s="39"/>
    </row>
    <row r="206" spans="2:6" x14ac:dyDescent="0.3">
      <c r="B206" s="38" t="s">
        <v>647</v>
      </c>
      <c r="C206" s="39">
        <v>2</v>
      </c>
      <c r="D206" s="39"/>
      <c r="E206" s="39"/>
      <c r="F206" s="39"/>
    </row>
    <row r="207" spans="2:6" x14ac:dyDescent="0.3">
      <c r="B207" s="38" t="s">
        <v>629</v>
      </c>
      <c r="C207" s="39">
        <v>3.5</v>
      </c>
      <c r="D207" s="39"/>
      <c r="E207" s="39"/>
      <c r="F207" s="39"/>
    </row>
    <row r="208" spans="2:6" x14ac:dyDescent="0.3">
      <c r="B208" s="38" t="s">
        <v>680</v>
      </c>
      <c r="C208" s="39">
        <v>5</v>
      </c>
      <c r="D208" s="39"/>
      <c r="E208" s="39"/>
      <c r="F208" s="39"/>
    </row>
    <row r="209" spans="2:6" x14ac:dyDescent="0.3">
      <c r="B209" s="38" t="s">
        <v>681</v>
      </c>
      <c r="C209" s="39">
        <v>19</v>
      </c>
      <c r="D209" s="39"/>
      <c r="E209" s="39"/>
      <c r="F209" s="39"/>
    </row>
    <row r="210" spans="2:6" x14ac:dyDescent="0.3">
      <c r="B210" s="38" t="s">
        <v>682</v>
      </c>
      <c r="C210" s="39">
        <v>51</v>
      </c>
      <c r="D210" s="39"/>
      <c r="E210" s="39"/>
      <c r="F210" s="39"/>
    </row>
    <row r="211" spans="2:6" x14ac:dyDescent="0.3">
      <c r="B211" s="38" t="s">
        <v>675</v>
      </c>
      <c r="C211" s="39">
        <v>0.5</v>
      </c>
      <c r="D211" s="39"/>
      <c r="E211" s="39"/>
      <c r="F211" s="39"/>
    </row>
    <row r="212" spans="2:6" x14ac:dyDescent="0.3">
      <c r="B212" s="38" t="s">
        <v>675</v>
      </c>
      <c r="C212" s="39">
        <v>1</v>
      </c>
      <c r="D212" s="39"/>
      <c r="E212" s="39"/>
      <c r="F212" s="39"/>
    </row>
    <row r="213" spans="2:6" x14ac:dyDescent="0.3">
      <c r="B213" s="38" t="s">
        <v>650</v>
      </c>
      <c r="C213" s="39">
        <v>4.75</v>
      </c>
      <c r="D213" s="39"/>
      <c r="E213" s="39"/>
      <c r="F213" s="39"/>
    </row>
    <row r="214" spans="2:6" x14ac:dyDescent="0.3">
      <c r="B214" s="38" t="s">
        <v>237</v>
      </c>
      <c r="C214" s="39">
        <v>2.5</v>
      </c>
      <c r="D214" s="39"/>
      <c r="E214" s="39"/>
      <c r="F214" s="39"/>
    </row>
    <row r="215" spans="2:6" x14ac:dyDescent="0.3">
      <c r="B215" s="38" t="s">
        <v>683</v>
      </c>
      <c r="C215" s="39">
        <v>2.5</v>
      </c>
      <c r="D215" s="39"/>
      <c r="E215" s="39"/>
      <c r="F215" s="39"/>
    </row>
    <row r="216" spans="2:6" x14ac:dyDescent="0.3">
      <c r="B216" s="38" t="s">
        <v>625</v>
      </c>
      <c r="C216" s="39">
        <v>0.5</v>
      </c>
      <c r="D216" s="39"/>
      <c r="E216" s="39"/>
      <c r="F216" s="39"/>
    </row>
    <row r="217" spans="2:6" x14ac:dyDescent="0.3">
      <c r="B217" s="38" t="s">
        <v>647</v>
      </c>
      <c r="C217" s="39">
        <v>2</v>
      </c>
      <c r="D217" s="39"/>
      <c r="E217" s="39"/>
      <c r="F217" s="39"/>
    </row>
    <row r="218" spans="2:6" x14ac:dyDescent="0.3">
      <c r="B218" s="41" t="s">
        <v>684</v>
      </c>
      <c r="C218" s="42">
        <v>6.25</v>
      </c>
      <c r="D218" s="42"/>
      <c r="E218" s="42"/>
      <c r="F218" s="88"/>
    </row>
    <row r="219" spans="2:6" x14ac:dyDescent="0.3">
      <c r="B219" s="41" t="s">
        <v>685</v>
      </c>
      <c r="C219" s="42">
        <v>13</v>
      </c>
      <c r="D219" s="42"/>
      <c r="E219" s="42"/>
      <c r="F219" s="88"/>
    </row>
    <row r="220" spans="2:6" x14ac:dyDescent="0.3">
      <c r="B220" s="41" t="s">
        <v>440</v>
      </c>
      <c r="C220" s="42">
        <v>30</v>
      </c>
      <c r="D220" s="42"/>
      <c r="E220" s="42"/>
      <c r="F220" s="88"/>
    </row>
    <row r="221" spans="2:6" x14ac:dyDescent="0.3">
      <c r="B221" s="41" t="s">
        <v>564</v>
      </c>
      <c r="C221" s="42">
        <v>8</v>
      </c>
      <c r="D221" s="42"/>
      <c r="E221" s="42"/>
      <c r="F221" s="88"/>
    </row>
    <row r="222" spans="2:6" x14ac:dyDescent="0.3">
      <c r="B222" s="41" t="s">
        <v>357</v>
      </c>
      <c r="C222" s="42">
        <v>2</v>
      </c>
      <c r="D222" s="42"/>
      <c r="E222" s="42"/>
      <c r="F222" s="88"/>
    </row>
    <row r="223" spans="2:6" x14ac:dyDescent="0.3">
      <c r="B223" s="41" t="s">
        <v>611</v>
      </c>
      <c r="C223" s="42">
        <v>5</v>
      </c>
      <c r="D223" s="42"/>
      <c r="E223" s="42"/>
      <c r="F223" s="88"/>
    </row>
    <row r="224" spans="2:6" x14ac:dyDescent="0.3">
      <c r="B224" s="41" t="s">
        <v>169</v>
      </c>
      <c r="C224" s="42">
        <v>2</v>
      </c>
      <c r="D224" s="42"/>
      <c r="E224" s="42"/>
      <c r="F224" s="88"/>
    </row>
    <row r="225" spans="2:15" x14ac:dyDescent="0.3">
      <c r="B225" s="41" t="s">
        <v>686</v>
      </c>
      <c r="C225" s="42">
        <v>3.5</v>
      </c>
      <c r="D225" s="42"/>
      <c r="E225" s="42"/>
      <c r="F225" s="88"/>
    </row>
    <row r="226" spans="2:15" x14ac:dyDescent="0.3">
      <c r="B226" s="41" t="s">
        <v>687</v>
      </c>
      <c r="C226" s="42">
        <v>4</v>
      </c>
      <c r="D226" s="42"/>
      <c r="E226" s="42"/>
      <c r="F226" s="88"/>
    </row>
    <row r="227" spans="2:15" x14ac:dyDescent="0.3">
      <c r="B227" s="41" t="s">
        <v>690</v>
      </c>
      <c r="C227" s="42">
        <v>2.5</v>
      </c>
      <c r="D227" s="42"/>
      <c r="E227" s="42"/>
      <c r="F227" s="88"/>
    </row>
    <row r="228" spans="2:15" x14ac:dyDescent="0.3">
      <c r="B228" s="41"/>
      <c r="C228" s="42"/>
      <c r="D228" s="42"/>
      <c r="E228" s="42"/>
      <c r="F228" s="88"/>
    </row>
    <row r="229" spans="2:15" x14ac:dyDescent="0.3">
      <c r="B229" s="41"/>
      <c r="C229" s="42"/>
      <c r="D229" s="42"/>
      <c r="E229" s="42"/>
      <c r="F229" s="88"/>
    </row>
    <row r="230" spans="2:15" x14ac:dyDescent="0.3">
      <c r="B230" s="41"/>
      <c r="C230" s="42"/>
      <c r="D230" s="42"/>
      <c r="E230" s="42"/>
      <c r="F230" s="88"/>
    </row>
    <row r="231" spans="2:15" x14ac:dyDescent="0.3">
      <c r="B231" s="41"/>
      <c r="C231" s="42"/>
      <c r="D231" s="42"/>
      <c r="E231" s="42"/>
      <c r="F231" s="88"/>
      <c r="G231" s="95"/>
    </row>
    <row r="232" spans="2:15" x14ac:dyDescent="0.3">
      <c r="B232" s="28"/>
      <c r="C232" s="29"/>
      <c r="D232" s="29"/>
      <c r="E232" s="29"/>
      <c r="F232" s="96"/>
    </row>
    <row r="233" spans="2:15" ht="26" x14ac:dyDescent="0.3">
      <c r="B233" s="101" t="s">
        <v>305</v>
      </c>
      <c r="C233" s="65">
        <f>SUM(C5:C227)</f>
        <v>1086.75</v>
      </c>
      <c r="D233" s="56"/>
      <c r="E233" s="65">
        <f>SUM(E5:E17)</f>
        <v>633</v>
      </c>
      <c r="F233" s="65">
        <f>C233-E233</f>
        <v>453.75</v>
      </c>
      <c r="G233" s="67">
        <f>F233+H83</f>
        <v>859</v>
      </c>
      <c r="H233" s="67">
        <v>720</v>
      </c>
      <c r="I233" s="67">
        <f>G233-H233</f>
        <v>139</v>
      </c>
      <c r="J233" s="67"/>
      <c r="K233" s="69"/>
      <c r="L233" s="69"/>
      <c r="O233" s="10"/>
    </row>
    <row r="234" spans="2:15" ht="26" x14ac:dyDescent="0.3">
      <c r="B234" s="28"/>
      <c r="C234" s="56"/>
      <c r="D234" s="29"/>
      <c r="E234" s="29"/>
      <c r="F234" s="89"/>
    </row>
    <row r="235" spans="2:15" ht="26" x14ac:dyDescent="0.3">
      <c r="B235" s="28"/>
      <c r="C235" s="29">
        <f>C233-E233</f>
        <v>453.75</v>
      </c>
      <c r="D235" s="29">
        <f>C235+H83</f>
        <v>859</v>
      </c>
      <c r="E235" s="97">
        <f>D235-H233</f>
        <v>139</v>
      </c>
      <c r="F235" s="77"/>
      <c r="H235" s="10"/>
    </row>
    <row r="236" spans="2:15" ht="26" x14ac:dyDescent="0.3">
      <c r="B236" s="28"/>
      <c r="C236" s="29"/>
      <c r="D236" s="29"/>
      <c r="E236" s="29"/>
      <c r="F236" s="77"/>
    </row>
    <row r="237" spans="2:15" x14ac:dyDescent="0.3">
      <c r="B237" s="28"/>
      <c r="C237" s="97">
        <f>C233+E233+H83</f>
        <v>2125</v>
      </c>
      <c r="D237" s="29"/>
      <c r="E237" s="29"/>
      <c r="F237" s="89"/>
    </row>
    <row r="238" spans="2:15" x14ac:dyDescent="0.3">
      <c r="B238" s="28"/>
      <c r="C238" s="29"/>
      <c r="D238" s="29"/>
      <c r="E238" s="29"/>
      <c r="F238" s="89"/>
    </row>
    <row r="239" spans="2:15" x14ac:dyDescent="0.3">
      <c r="B239" s="28"/>
      <c r="C239" s="29"/>
      <c r="D239" s="29"/>
      <c r="E239" s="29"/>
      <c r="F239" s="89"/>
    </row>
    <row r="240" spans="2:15" x14ac:dyDescent="0.3">
      <c r="B240" s="28"/>
      <c r="C240" s="29"/>
      <c r="D240" s="29"/>
      <c r="E240" s="29"/>
      <c r="F240" s="89"/>
    </row>
    <row r="241" spans="2:6" x14ac:dyDescent="0.3">
      <c r="B241" s="28"/>
      <c r="C241" s="29"/>
      <c r="D241" s="29"/>
      <c r="E241" s="29"/>
      <c r="F241" s="89"/>
    </row>
    <row r="242" spans="2:6" x14ac:dyDescent="0.3">
      <c r="B242" s="28"/>
      <c r="C242" s="29"/>
      <c r="D242" s="29"/>
      <c r="E242" s="29"/>
      <c r="F242" s="89"/>
    </row>
    <row r="243" spans="2:6" x14ac:dyDescent="0.3">
      <c r="B243" s="28"/>
      <c r="C243" s="29"/>
      <c r="D243" s="29"/>
      <c r="E243" s="29"/>
      <c r="F243" s="89"/>
    </row>
    <row r="244" spans="2:6" x14ac:dyDescent="0.3">
      <c r="B244" s="28"/>
      <c r="C244" s="29"/>
      <c r="D244" s="29"/>
      <c r="E244" s="29"/>
      <c r="F244" s="89"/>
    </row>
    <row r="245" spans="2:6" x14ac:dyDescent="0.3">
      <c r="B245" s="28"/>
      <c r="C245" s="29"/>
      <c r="D245" s="29"/>
      <c r="E245" s="29"/>
      <c r="F245" s="89"/>
    </row>
    <row r="246" spans="2:6" x14ac:dyDescent="0.3">
      <c r="B246" s="28"/>
      <c r="C246" s="29"/>
      <c r="D246" s="29"/>
      <c r="E246" s="29"/>
      <c r="F246" s="89"/>
    </row>
    <row r="247" spans="2:6" x14ac:dyDescent="0.3">
      <c r="B247" s="28"/>
      <c r="C247" s="29"/>
      <c r="D247" s="29"/>
      <c r="E247" s="29"/>
      <c r="F247" s="89"/>
    </row>
    <row r="248" spans="2:6" x14ac:dyDescent="0.3">
      <c r="B248" s="28"/>
      <c r="C248" s="29"/>
      <c r="D248" s="29"/>
      <c r="E248" s="29"/>
      <c r="F248" s="89"/>
    </row>
    <row r="249" spans="2:6" x14ac:dyDescent="0.3">
      <c r="B249" s="28"/>
      <c r="C249" s="29"/>
      <c r="D249" s="29"/>
      <c r="E249" s="29"/>
      <c r="F249" s="89"/>
    </row>
    <row r="250" spans="2:6" x14ac:dyDescent="0.3">
      <c r="B250" s="28"/>
      <c r="C250" s="29"/>
      <c r="D250" s="29"/>
      <c r="E250" s="29"/>
      <c r="F250" s="89"/>
    </row>
    <row r="251" spans="2:6" x14ac:dyDescent="0.3">
      <c r="B251" s="28"/>
      <c r="C251" s="29"/>
      <c r="D251" s="29"/>
      <c r="E251" s="29"/>
      <c r="F251" s="89"/>
    </row>
    <row r="252" spans="2:6" x14ac:dyDescent="0.3">
      <c r="B252" s="28"/>
      <c r="C252" s="29"/>
      <c r="D252" s="29"/>
      <c r="E252" s="29"/>
      <c r="F252" s="89"/>
    </row>
    <row r="253" spans="2:6" x14ac:dyDescent="0.3">
      <c r="B253" s="28"/>
      <c r="C253" s="29"/>
      <c r="D253" s="29"/>
      <c r="E253" s="29"/>
      <c r="F253" s="89"/>
    </row>
    <row r="254" spans="2:6" x14ac:dyDescent="0.3">
      <c r="B254" s="28"/>
      <c r="C254" s="29"/>
      <c r="D254" s="29"/>
      <c r="E254" s="29"/>
      <c r="F254" s="89"/>
    </row>
    <row r="255" spans="2:6" x14ac:dyDescent="0.3">
      <c r="B255" s="28"/>
      <c r="C255" s="29"/>
      <c r="D255" s="29"/>
      <c r="E255" s="29"/>
      <c r="F255" s="89"/>
    </row>
    <row r="256" spans="2:6" x14ac:dyDescent="0.3">
      <c r="B256" s="28"/>
      <c r="C256" s="29"/>
      <c r="D256" s="29"/>
      <c r="E256" s="29"/>
      <c r="F256" s="89"/>
    </row>
    <row r="257" spans="2:6" x14ac:dyDescent="0.3">
      <c r="B257" s="28"/>
      <c r="C257" s="29"/>
      <c r="D257" s="29"/>
      <c r="E257" s="29"/>
      <c r="F257" s="89"/>
    </row>
    <row r="258" spans="2:6" x14ac:dyDescent="0.3">
      <c r="B258" s="28"/>
      <c r="C258" s="29"/>
      <c r="D258" s="29"/>
      <c r="E258" s="29"/>
      <c r="F258" s="89"/>
    </row>
    <row r="259" spans="2:6" x14ac:dyDescent="0.3">
      <c r="B259" s="28"/>
      <c r="C259" s="29"/>
      <c r="D259" s="29"/>
      <c r="E259" s="29"/>
      <c r="F259" s="89"/>
    </row>
    <row r="260" spans="2:6" x14ac:dyDescent="0.3">
      <c r="B260" s="28"/>
      <c r="C260" s="29"/>
      <c r="D260" s="29"/>
      <c r="E260" s="29"/>
      <c r="F260" s="89"/>
    </row>
    <row r="261" spans="2:6" x14ac:dyDescent="0.3">
      <c r="B261" s="28"/>
      <c r="C261" s="29"/>
      <c r="D261" s="29"/>
      <c r="E261" s="29"/>
      <c r="F261" s="89"/>
    </row>
    <row r="262" spans="2:6" x14ac:dyDescent="0.3">
      <c r="B262" s="6"/>
      <c r="C262" s="18"/>
      <c r="D262" s="18"/>
      <c r="E262" s="18"/>
      <c r="F262" s="89"/>
    </row>
    <row r="263" spans="2:6" x14ac:dyDescent="0.3">
      <c r="B263" s="6"/>
      <c r="C263" s="18"/>
      <c r="D263" s="18"/>
      <c r="E263" s="18"/>
      <c r="F263" s="89"/>
    </row>
    <row r="264" spans="2:6" x14ac:dyDescent="0.3">
      <c r="B264" s="6"/>
      <c r="C264" s="18"/>
      <c r="D264" s="18"/>
      <c r="E264" s="18"/>
      <c r="F264" s="89"/>
    </row>
    <row r="265" spans="2:6" x14ac:dyDescent="0.3">
      <c r="B265" s="6"/>
      <c r="C265" s="18"/>
      <c r="D265" s="18"/>
      <c r="E265" s="18"/>
      <c r="F265" s="89"/>
    </row>
    <row r="266" spans="2:6" x14ac:dyDescent="0.3">
      <c r="B266" s="6"/>
      <c r="C266" s="18"/>
      <c r="D266" s="18"/>
      <c r="E266" s="18"/>
      <c r="F266" s="89"/>
    </row>
    <row r="267" spans="2:6" x14ac:dyDescent="0.3">
      <c r="B267" s="6"/>
      <c r="C267" s="18"/>
      <c r="D267" s="18"/>
      <c r="E267" s="18"/>
      <c r="F267" s="89"/>
    </row>
    <row r="268" spans="2:6" x14ac:dyDescent="0.3">
      <c r="B268" s="6"/>
      <c r="C268" s="18"/>
      <c r="D268" s="18"/>
      <c r="E268" s="18"/>
      <c r="F268" s="89"/>
    </row>
    <row r="269" spans="2:6" x14ac:dyDescent="0.3">
      <c r="B269" s="6"/>
      <c r="C269" s="18"/>
      <c r="D269" s="18"/>
      <c r="E269" s="18"/>
      <c r="F269" s="89"/>
    </row>
    <row r="270" spans="2:6" x14ac:dyDescent="0.3">
      <c r="B270" s="6"/>
      <c r="C270" s="18"/>
      <c r="D270" s="18"/>
      <c r="E270" s="18"/>
      <c r="F270" s="89"/>
    </row>
    <row r="271" spans="2:6" x14ac:dyDescent="0.3">
      <c r="B271" s="6"/>
      <c r="C271" s="18"/>
      <c r="D271" s="18"/>
      <c r="E271" s="18"/>
      <c r="F271" s="89"/>
    </row>
    <row r="272" spans="2:6" x14ac:dyDescent="0.3">
      <c r="B272" s="6"/>
      <c r="C272" s="18"/>
      <c r="D272" s="18"/>
      <c r="E272" s="18"/>
      <c r="F272" s="89"/>
    </row>
    <row r="273" spans="2:6" x14ac:dyDescent="0.3">
      <c r="B273" s="6"/>
      <c r="C273" s="18"/>
      <c r="D273" s="18"/>
      <c r="E273" s="18"/>
      <c r="F273" s="89"/>
    </row>
    <row r="274" spans="2:6" x14ac:dyDescent="0.3">
      <c r="B274" s="6"/>
      <c r="C274" s="18"/>
      <c r="D274" s="18"/>
      <c r="E274" s="18"/>
      <c r="F274" s="89"/>
    </row>
    <row r="275" spans="2:6" x14ac:dyDescent="0.3">
      <c r="B275" s="6"/>
      <c r="C275" s="18"/>
      <c r="D275" s="18"/>
      <c r="E275" s="18"/>
      <c r="F275" s="89"/>
    </row>
    <row r="276" spans="2:6" x14ac:dyDescent="0.3">
      <c r="B276" s="6"/>
      <c r="C276" s="18"/>
      <c r="D276" s="18"/>
      <c r="E276" s="18"/>
      <c r="F276" s="89"/>
    </row>
    <row r="277" spans="2:6" x14ac:dyDescent="0.3">
      <c r="B277" s="6"/>
      <c r="C277" s="18"/>
      <c r="D277" s="18"/>
      <c r="E277" s="18"/>
      <c r="F277" s="89"/>
    </row>
    <row r="278" spans="2:6" x14ac:dyDescent="0.3">
      <c r="B278" s="6"/>
      <c r="C278" s="18"/>
      <c r="D278" s="18"/>
      <c r="E278" s="18"/>
      <c r="F278" s="89"/>
    </row>
    <row r="279" spans="2:6" x14ac:dyDescent="0.3">
      <c r="B279" s="6"/>
      <c r="C279" s="18"/>
      <c r="D279" s="18"/>
      <c r="E279" s="18"/>
      <c r="F279" s="89"/>
    </row>
    <row r="280" spans="2:6" x14ac:dyDescent="0.3">
      <c r="B280" s="6"/>
      <c r="C280" s="18"/>
      <c r="D280" s="18"/>
      <c r="E280" s="18"/>
      <c r="F280" s="89"/>
    </row>
    <row r="281" spans="2:6" x14ac:dyDescent="0.3">
      <c r="B281" s="6"/>
      <c r="C281" s="18"/>
      <c r="D281" s="18"/>
      <c r="E281" s="18"/>
      <c r="F281" s="89"/>
    </row>
    <row r="282" spans="2:6" x14ac:dyDescent="0.3">
      <c r="B282" s="6"/>
      <c r="C282" s="18"/>
      <c r="D282" s="18"/>
      <c r="E282" s="18"/>
      <c r="F282" s="89"/>
    </row>
    <row r="283" spans="2:6" x14ac:dyDescent="0.3">
      <c r="B283" s="6"/>
      <c r="C283" s="18"/>
      <c r="D283" s="18"/>
      <c r="E283" s="18"/>
      <c r="F283" s="89"/>
    </row>
    <row r="284" spans="2:6" x14ac:dyDescent="0.3">
      <c r="B284" s="6"/>
      <c r="C284" s="18"/>
      <c r="D284" s="18"/>
      <c r="E284" s="18"/>
      <c r="F284" s="89"/>
    </row>
    <row r="285" spans="2:6" x14ac:dyDescent="0.3">
      <c r="B285" s="6"/>
      <c r="C285" s="18"/>
      <c r="D285" s="18"/>
      <c r="E285" s="18"/>
      <c r="F285" s="89"/>
    </row>
    <row r="286" spans="2:6" x14ac:dyDescent="0.3">
      <c r="B286" s="6"/>
      <c r="C286" s="18"/>
      <c r="D286" s="18"/>
      <c r="E286" s="18"/>
      <c r="F286" s="89"/>
    </row>
    <row r="287" spans="2:6" x14ac:dyDescent="0.3">
      <c r="B287" s="6"/>
      <c r="C287" s="18"/>
      <c r="D287" s="18"/>
      <c r="E287" s="18"/>
      <c r="F287" s="89"/>
    </row>
    <row r="288" spans="2:6" x14ac:dyDescent="0.3">
      <c r="B288" s="6"/>
      <c r="C288" s="18"/>
      <c r="D288" s="18"/>
      <c r="E288" s="18"/>
      <c r="F288" s="89"/>
    </row>
    <row r="289" spans="2:8" x14ac:dyDescent="0.3">
      <c r="B289" s="6"/>
      <c r="C289" s="18"/>
      <c r="D289" s="18"/>
      <c r="E289" s="18"/>
      <c r="F289" s="89"/>
    </row>
    <row r="290" spans="2:8" x14ac:dyDescent="0.3">
      <c r="B290" s="6"/>
      <c r="C290" s="18"/>
      <c r="D290" s="18"/>
      <c r="E290" s="18"/>
      <c r="F290" s="89"/>
    </row>
    <row r="291" spans="2:8" x14ac:dyDescent="0.3">
      <c r="B291" s="6"/>
      <c r="C291" s="18"/>
      <c r="D291" s="18"/>
      <c r="E291" s="18"/>
      <c r="F291" s="89"/>
    </row>
    <row r="292" spans="2:8" x14ac:dyDescent="0.3">
      <c r="B292" s="6"/>
      <c r="C292" s="18"/>
      <c r="D292" s="18"/>
      <c r="E292" s="18"/>
      <c r="F292" s="89"/>
    </row>
    <row r="293" spans="2:8" x14ac:dyDescent="0.3">
      <c r="B293" s="6"/>
      <c r="C293" s="18"/>
      <c r="D293" s="18"/>
      <c r="E293" s="18"/>
      <c r="F293" s="89"/>
    </row>
    <row r="294" spans="2:8" x14ac:dyDescent="0.3">
      <c r="B294" s="6"/>
      <c r="C294" s="18"/>
      <c r="D294" s="18"/>
      <c r="E294" s="18"/>
      <c r="F294" s="89"/>
    </row>
    <row r="295" spans="2:8" x14ac:dyDescent="0.3">
      <c r="B295" s="6"/>
      <c r="C295" s="18"/>
      <c r="D295" s="18"/>
      <c r="E295" s="18"/>
      <c r="F295" s="89"/>
    </row>
    <row r="296" spans="2:8" x14ac:dyDescent="0.3">
      <c r="C296" s="12"/>
      <c r="D296" s="12"/>
      <c r="E296" s="12"/>
      <c r="F296" s="12"/>
      <c r="G296" s="10"/>
      <c r="H296" s="10"/>
    </row>
    <row r="298" spans="2:8" x14ac:dyDescent="0.3">
      <c r="C298" s="12"/>
      <c r="D298" s="10"/>
      <c r="E298" s="10"/>
      <c r="G298" s="10"/>
      <c r="H298" s="10"/>
    </row>
    <row r="300" spans="2:8" x14ac:dyDescent="0.3">
      <c r="C300" s="10"/>
      <c r="D300" s="10"/>
      <c r="E300" s="10"/>
    </row>
    <row r="301" spans="2:8" x14ac:dyDescent="0.3">
      <c r="C301" s="27"/>
    </row>
    <row r="302" spans="2:8" x14ac:dyDescent="0.3">
      <c r="C302" s="10"/>
    </row>
  </sheetData>
  <mergeCells count="1"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31BD-A09F-4D94-A1A3-C2D329FA7659}">
  <dimension ref="A1:S179"/>
  <sheetViews>
    <sheetView workbookViewId="0">
      <selection activeCell="R6" sqref="R6"/>
    </sheetView>
  </sheetViews>
  <sheetFormatPr baseColWidth="10" defaultColWidth="8.83203125" defaultRowHeight="15" x14ac:dyDescent="0.2"/>
  <cols>
    <col min="1" max="1" width="5.83203125" customWidth="1"/>
    <col min="2" max="2" width="42.1640625" customWidth="1"/>
    <col min="3" max="3" width="7" customWidth="1"/>
    <col min="4" max="4" width="10.1640625" customWidth="1"/>
    <col min="5" max="5" width="15.33203125" bestFit="1" customWidth="1"/>
    <col min="6" max="6" width="17" customWidth="1"/>
    <col min="7" max="7" width="13.6640625" bestFit="1" customWidth="1"/>
    <col min="10" max="10" width="10.1640625" bestFit="1" customWidth="1"/>
    <col min="15" max="15" width="3.33203125" bestFit="1" customWidth="1"/>
    <col min="16" max="16" width="39.83203125" bestFit="1" customWidth="1"/>
    <col min="17" max="17" width="8" bestFit="1" customWidth="1"/>
    <col min="18" max="19" width="12.1640625" bestFit="1" customWidth="1"/>
  </cols>
  <sheetData>
    <row r="1" spans="1:19" x14ac:dyDescent="0.2">
      <c r="A1" s="81" t="s">
        <v>0</v>
      </c>
      <c r="B1" s="81"/>
      <c r="C1" s="81"/>
      <c r="D1" s="81"/>
      <c r="E1" s="81"/>
      <c r="F1" s="81"/>
    </row>
    <row r="2" spans="1:19" x14ac:dyDescent="0.2">
      <c r="A2" s="1"/>
      <c r="B2" t="s">
        <v>1</v>
      </c>
      <c r="C2" s="1"/>
      <c r="F2" s="2"/>
    </row>
    <row r="3" spans="1:19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17" t="s">
        <v>117</v>
      </c>
      <c r="G3" s="3" t="s">
        <v>118</v>
      </c>
    </row>
    <row r="4" spans="1:19" x14ac:dyDescent="0.2">
      <c r="A4" s="5">
        <v>1</v>
      </c>
      <c r="B4" s="6" t="s">
        <v>7</v>
      </c>
      <c r="C4" s="7">
        <v>2</v>
      </c>
      <c r="D4" s="6">
        <v>92000</v>
      </c>
      <c r="E4" s="6">
        <f>(C4*D4)</f>
        <v>184000</v>
      </c>
      <c r="F4" s="24">
        <v>13</v>
      </c>
      <c r="G4" s="18">
        <f>F4*C4</f>
        <v>26</v>
      </c>
    </row>
    <row r="5" spans="1:19" x14ac:dyDescent="0.2">
      <c r="A5" s="5">
        <v>2</v>
      </c>
      <c r="B5" s="6" t="s">
        <v>8</v>
      </c>
      <c r="C5" s="7">
        <v>2</v>
      </c>
      <c r="D5" s="6">
        <v>92000</v>
      </c>
      <c r="E5" s="6">
        <f t="shared" ref="E5:E13" si="0">(C5*D5)</f>
        <v>184000</v>
      </c>
      <c r="F5" s="24">
        <v>13</v>
      </c>
      <c r="G5" s="18">
        <f t="shared" ref="G5:G13" si="1">F5*C5</f>
        <v>26</v>
      </c>
      <c r="O5" t="s">
        <v>470</v>
      </c>
      <c r="P5" t="s">
        <v>471</v>
      </c>
      <c r="Q5" t="s">
        <v>472</v>
      </c>
      <c r="R5" t="s">
        <v>473</v>
      </c>
      <c r="S5" t="s">
        <v>474</v>
      </c>
    </row>
    <row r="6" spans="1:19" x14ac:dyDescent="0.2">
      <c r="A6" s="5">
        <v>3</v>
      </c>
      <c r="B6" s="6" t="s">
        <v>9</v>
      </c>
      <c r="C6" s="7">
        <v>2</v>
      </c>
      <c r="D6" s="6">
        <v>92000</v>
      </c>
      <c r="E6" s="6">
        <f t="shared" si="0"/>
        <v>184000</v>
      </c>
      <c r="F6" s="24">
        <v>13</v>
      </c>
      <c r="G6" s="18">
        <f t="shared" si="1"/>
        <v>26</v>
      </c>
      <c r="O6">
        <v>1</v>
      </c>
      <c r="P6" t="s">
        <v>475</v>
      </c>
      <c r="Q6">
        <v>75388</v>
      </c>
      <c r="R6">
        <v>7000</v>
      </c>
      <c r="S6">
        <v>527716000</v>
      </c>
    </row>
    <row r="7" spans="1:19" x14ac:dyDescent="0.2">
      <c r="A7" s="5">
        <v>4</v>
      </c>
      <c r="B7" s="6" t="s">
        <v>10</v>
      </c>
      <c r="C7" s="7">
        <v>10</v>
      </c>
      <c r="D7" s="6">
        <v>15750</v>
      </c>
      <c r="E7" s="6">
        <f t="shared" si="0"/>
        <v>157500</v>
      </c>
      <c r="F7" s="24">
        <v>4</v>
      </c>
      <c r="G7" s="18">
        <f t="shared" si="1"/>
        <v>40</v>
      </c>
      <c r="O7">
        <v>2</v>
      </c>
      <c r="P7" t="s">
        <v>476</v>
      </c>
      <c r="Q7">
        <v>5666</v>
      </c>
      <c r="R7">
        <v>82000</v>
      </c>
      <c r="S7">
        <v>464612000</v>
      </c>
    </row>
    <row r="8" spans="1:19" x14ac:dyDescent="0.2">
      <c r="A8" s="5">
        <v>5</v>
      </c>
      <c r="B8" s="6" t="s">
        <v>11</v>
      </c>
      <c r="C8" s="7">
        <v>10</v>
      </c>
      <c r="D8" s="6">
        <v>15050</v>
      </c>
      <c r="E8" s="6">
        <f t="shared" si="0"/>
        <v>150500</v>
      </c>
      <c r="F8" s="24">
        <v>4</v>
      </c>
      <c r="G8" s="18">
        <f t="shared" si="1"/>
        <v>40</v>
      </c>
      <c r="O8">
        <v>3</v>
      </c>
      <c r="P8" t="s">
        <v>477</v>
      </c>
      <c r="Q8">
        <v>6849</v>
      </c>
      <c r="R8">
        <v>66500</v>
      </c>
      <c r="S8">
        <v>455458500</v>
      </c>
    </row>
    <row r="9" spans="1:19" x14ac:dyDescent="0.2">
      <c r="A9" s="5">
        <v>6</v>
      </c>
      <c r="B9" s="6" t="s">
        <v>12</v>
      </c>
      <c r="C9" s="7">
        <v>10</v>
      </c>
      <c r="D9" s="6">
        <v>12700</v>
      </c>
      <c r="E9" s="6">
        <f t="shared" si="0"/>
        <v>127000</v>
      </c>
      <c r="F9" s="24">
        <v>3</v>
      </c>
      <c r="G9" s="18">
        <f t="shared" si="1"/>
        <v>30</v>
      </c>
      <c r="O9">
        <v>4</v>
      </c>
      <c r="P9" t="s">
        <v>478</v>
      </c>
      <c r="Q9">
        <v>39094</v>
      </c>
      <c r="R9">
        <v>11000</v>
      </c>
      <c r="S9">
        <v>430034000</v>
      </c>
    </row>
    <row r="10" spans="1:19" x14ac:dyDescent="0.2">
      <c r="A10" s="5">
        <v>7</v>
      </c>
      <c r="B10" s="6" t="s">
        <v>13</v>
      </c>
      <c r="C10" s="7">
        <v>4</v>
      </c>
      <c r="D10" s="6">
        <v>14500</v>
      </c>
      <c r="E10" s="6">
        <f t="shared" si="0"/>
        <v>58000</v>
      </c>
      <c r="F10" s="24">
        <v>5</v>
      </c>
      <c r="G10" s="18">
        <f t="shared" si="1"/>
        <v>20</v>
      </c>
      <c r="O10">
        <v>5</v>
      </c>
      <c r="P10" t="s">
        <v>479</v>
      </c>
      <c r="Q10">
        <v>122194</v>
      </c>
      <c r="R10">
        <v>3500</v>
      </c>
      <c r="S10">
        <v>427679000</v>
      </c>
    </row>
    <row r="11" spans="1:19" x14ac:dyDescent="0.2">
      <c r="A11" s="5">
        <v>8</v>
      </c>
      <c r="B11" s="6" t="s">
        <v>14</v>
      </c>
      <c r="C11" s="7">
        <v>4</v>
      </c>
      <c r="D11" s="6">
        <v>19500</v>
      </c>
      <c r="E11" s="6">
        <f t="shared" si="0"/>
        <v>78000</v>
      </c>
      <c r="F11" s="24">
        <v>5</v>
      </c>
      <c r="G11" s="18">
        <f t="shared" si="1"/>
        <v>20</v>
      </c>
      <c r="O11">
        <v>6</v>
      </c>
      <c r="P11" t="s">
        <v>480</v>
      </c>
      <c r="Q11">
        <v>122194</v>
      </c>
      <c r="R11">
        <v>3500</v>
      </c>
      <c r="S11">
        <v>427679000</v>
      </c>
    </row>
    <row r="12" spans="1:19" x14ac:dyDescent="0.2">
      <c r="A12" s="5">
        <v>9</v>
      </c>
      <c r="B12" s="6" t="s">
        <v>15</v>
      </c>
      <c r="C12" s="7">
        <v>4</v>
      </c>
      <c r="D12" s="6">
        <v>124950</v>
      </c>
      <c r="E12" s="6">
        <f t="shared" si="0"/>
        <v>499800</v>
      </c>
      <c r="F12" s="24">
        <v>13</v>
      </c>
      <c r="G12" s="18">
        <f t="shared" si="1"/>
        <v>52</v>
      </c>
      <c r="O12">
        <v>7</v>
      </c>
      <c r="P12" t="s">
        <v>481</v>
      </c>
      <c r="Q12">
        <v>22901</v>
      </c>
      <c r="R12">
        <v>25000</v>
      </c>
      <c r="S12">
        <v>572525000</v>
      </c>
    </row>
    <row r="13" spans="1:19" x14ac:dyDescent="0.2">
      <c r="A13" s="5">
        <v>10</v>
      </c>
      <c r="B13" s="6" t="s">
        <v>16</v>
      </c>
      <c r="C13" s="7">
        <v>4</v>
      </c>
      <c r="D13" s="6">
        <v>35000</v>
      </c>
      <c r="E13" s="6">
        <f t="shared" si="0"/>
        <v>140000</v>
      </c>
      <c r="F13" s="24">
        <v>8</v>
      </c>
      <c r="G13" s="18">
        <f t="shared" si="1"/>
        <v>32</v>
      </c>
      <c r="O13">
        <v>8</v>
      </c>
      <c r="P13" t="s">
        <v>482</v>
      </c>
      <c r="Q13">
        <v>6570</v>
      </c>
      <c r="R13">
        <v>90000</v>
      </c>
      <c r="S13">
        <v>591300000</v>
      </c>
    </row>
    <row r="14" spans="1:19" x14ac:dyDescent="0.2">
      <c r="A14" s="1"/>
      <c r="C14" s="1"/>
      <c r="F14" s="10">
        <f>SUM(F4:F13)</f>
        <v>81</v>
      </c>
      <c r="G14" s="12">
        <f>SUM(G4:G13)</f>
        <v>312</v>
      </c>
      <c r="O14">
        <v>9</v>
      </c>
      <c r="P14" t="s">
        <v>483</v>
      </c>
      <c r="Q14">
        <v>3687</v>
      </c>
      <c r="R14">
        <v>96500</v>
      </c>
      <c r="S14">
        <v>355795500</v>
      </c>
    </row>
    <row r="15" spans="1:19" x14ac:dyDescent="0.2">
      <c r="A15" s="1"/>
      <c r="B15" t="s">
        <v>17</v>
      </c>
      <c r="C15" s="1"/>
      <c r="F15" s="2"/>
      <c r="O15">
        <v>10</v>
      </c>
      <c r="P15" t="s">
        <v>484</v>
      </c>
      <c r="Q15">
        <v>3410</v>
      </c>
      <c r="R15">
        <v>102000</v>
      </c>
      <c r="S15">
        <v>347820000</v>
      </c>
    </row>
    <row r="16" spans="1:19" x14ac:dyDescent="0.2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17" t="s">
        <v>117</v>
      </c>
      <c r="G16" s="3" t="s">
        <v>119</v>
      </c>
      <c r="O16">
        <v>11</v>
      </c>
      <c r="P16" t="s">
        <v>485</v>
      </c>
      <c r="Q16">
        <v>1958</v>
      </c>
      <c r="R16">
        <v>175000</v>
      </c>
      <c r="S16">
        <v>342650000</v>
      </c>
    </row>
    <row r="17" spans="1:19" x14ac:dyDescent="0.2">
      <c r="A17" s="5">
        <v>1</v>
      </c>
      <c r="B17" s="6" t="s">
        <v>18</v>
      </c>
      <c r="C17" s="7">
        <v>6</v>
      </c>
      <c r="D17" s="6">
        <v>38700</v>
      </c>
      <c r="E17" s="6">
        <f>(C17*D17)</f>
        <v>232200</v>
      </c>
      <c r="F17" s="24">
        <v>4</v>
      </c>
      <c r="G17" s="18">
        <f>C17*F17</f>
        <v>24</v>
      </c>
      <c r="O17">
        <v>12</v>
      </c>
      <c r="P17" t="s">
        <v>486</v>
      </c>
      <c r="Q17">
        <v>143370</v>
      </c>
      <c r="R17">
        <v>2000</v>
      </c>
      <c r="S17">
        <v>286740000</v>
      </c>
    </row>
    <row r="18" spans="1:19" x14ac:dyDescent="0.2">
      <c r="A18" s="5">
        <v>2</v>
      </c>
      <c r="B18" s="6" t="s">
        <v>19</v>
      </c>
      <c r="C18" s="7">
        <v>3</v>
      </c>
      <c r="D18" s="6">
        <v>36000</v>
      </c>
      <c r="E18" s="6">
        <f t="shared" ref="E18:E24" si="2">(C18*D18)</f>
        <v>108000</v>
      </c>
      <c r="F18" s="24">
        <v>4</v>
      </c>
      <c r="G18" s="18">
        <f t="shared" ref="G18:G24" si="3">C18*F18</f>
        <v>12</v>
      </c>
      <c r="O18">
        <v>13</v>
      </c>
      <c r="P18" t="s">
        <v>487</v>
      </c>
      <c r="Q18">
        <v>1505</v>
      </c>
      <c r="R18">
        <v>155000</v>
      </c>
      <c r="S18">
        <v>233275000</v>
      </c>
    </row>
    <row r="19" spans="1:19" x14ac:dyDescent="0.2">
      <c r="A19" s="5">
        <v>3</v>
      </c>
      <c r="B19" s="6" t="s">
        <v>20</v>
      </c>
      <c r="C19" s="7">
        <v>1</v>
      </c>
      <c r="D19" s="6">
        <v>41400</v>
      </c>
      <c r="E19" s="6">
        <f t="shared" si="2"/>
        <v>41400</v>
      </c>
      <c r="F19" s="24">
        <v>6</v>
      </c>
      <c r="G19" s="18">
        <f t="shared" si="3"/>
        <v>6</v>
      </c>
      <c r="O19">
        <v>14</v>
      </c>
      <c r="P19" t="s">
        <v>488</v>
      </c>
      <c r="Q19">
        <v>1143</v>
      </c>
      <c r="R19">
        <v>180000</v>
      </c>
      <c r="S19">
        <v>205740000</v>
      </c>
    </row>
    <row r="20" spans="1:19" x14ac:dyDescent="0.2">
      <c r="A20" s="5">
        <v>4</v>
      </c>
      <c r="B20" s="6" t="s">
        <v>21</v>
      </c>
      <c r="C20" s="7">
        <v>5</v>
      </c>
      <c r="D20" s="6">
        <v>69350</v>
      </c>
      <c r="E20" s="6">
        <f t="shared" si="2"/>
        <v>346750</v>
      </c>
      <c r="F20" s="24">
        <v>12</v>
      </c>
      <c r="G20" s="18">
        <f t="shared" si="3"/>
        <v>60</v>
      </c>
      <c r="O20">
        <v>15</v>
      </c>
      <c r="P20" t="s">
        <v>489</v>
      </c>
      <c r="Q20">
        <v>3000</v>
      </c>
      <c r="R20">
        <v>63500</v>
      </c>
      <c r="S20">
        <v>190500000</v>
      </c>
    </row>
    <row r="21" spans="1:19" x14ac:dyDescent="0.2">
      <c r="A21" s="5">
        <v>5</v>
      </c>
      <c r="B21" s="6" t="s">
        <v>22</v>
      </c>
      <c r="C21" s="7">
        <v>5</v>
      </c>
      <c r="D21" s="6">
        <v>69350</v>
      </c>
      <c r="E21" s="6">
        <f t="shared" si="2"/>
        <v>346750</v>
      </c>
      <c r="F21" s="24">
        <v>12</v>
      </c>
      <c r="G21" s="18">
        <f t="shared" si="3"/>
        <v>60</v>
      </c>
      <c r="O21">
        <v>16</v>
      </c>
      <c r="P21" t="s">
        <v>490</v>
      </c>
      <c r="Q21">
        <v>8402</v>
      </c>
      <c r="R21">
        <v>21500</v>
      </c>
      <c r="S21">
        <v>180643000</v>
      </c>
    </row>
    <row r="22" spans="1:19" x14ac:dyDescent="0.2">
      <c r="A22" s="5">
        <v>6</v>
      </c>
      <c r="B22" s="6" t="s">
        <v>23</v>
      </c>
      <c r="C22" s="7">
        <v>4</v>
      </c>
      <c r="D22" s="6">
        <v>75000</v>
      </c>
      <c r="E22" s="6">
        <f t="shared" si="2"/>
        <v>300000</v>
      </c>
      <c r="F22" s="24">
        <v>12</v>
      </c>
      <c r="G22" s="18">
        <f t="shared" si="3"/>
        <v>48</v>
      </c>
      <c r="O22">
        <v>17</v>
      </c>
      <c r="P22" t="s">
        <v>491</v>
      </c>
      <c r="Q22">
        <v>2080</v>
      </c>
      <c r="R22">
        <v>92500</v>
      </c>
      <c r="S22">
        <v>192400000</v>
      </c>
    </row>
    <row r="23" spans="1:19" x14ac:dyDescent="0.2">
      <c r="A23" s="5">
        <v>7</v>
      </c>
      <c r="B23" s="6" t="s">
        <v>24</v>
      </c>
      <c r="C23" s="7">
        <v>1</v>
      </c>
      <c r="D23" s="6">
        <v>107950</v>
      </c>
      <c r="E23" s="6">
        <f t="shared" si="2"/>
        <v>107950</v>
      </c>
      <c r="F23" s="24">
        <v>13</v>
      </c>
      <c r="G23" s="18">
        <f t="shared" si="3"/>
        <v>13</v>
      </c>
      <c r="O23">
        <v>18</v>
      </c>
      <c r="P23" t="s">
        <v>492</v>
      </c>
      <c r="Q23">
        <v>63839</v>
      </c>
      <c r="R23">
        <v>2500</v>
      </c>
      <c r="S23">
        <v>159597500</v>
      </c>
    </row>
    <row r="24" spans="1:19" x14ac:dyDescent="0.2">
      <c r="A24" s="5">
        <v>8</v>
      </c>
      <c r="B24" s="6" t="s">
        <v>25</v>
      </c>
      <c r="C24" s="7">
        <v>2</v>
      </c>
      <c r="D24" s="6">
        <v>107950</v>
      </c>
      <c r="E24" s="6">
        <f t="shared" si="2"/>
        <v>215900</v>
      </c>
      <c r="F24" s="24">
        <v>13</v>
      </c>
      <c r="G24" s="18">
        <f t="shared" si="3"/>
        <v>26</v>
      </c>
      <c r="O24">
        <v>19</v>
      </c>
      <c r="P24" t="s">
        <v>493</v>
      </c>
      <c r="Q24">
        <v>6305</v>
      </c>
      <c r="R24">
        <v>25000</v>
      </c>
      <c r="S24">
        <v>157625000</v>
      </c>
    </row>
    <row r="25" spans="1:19" x14ac:dyDescent="0.2">
      <c r="A25" s="1"/>
      <c r="C25" s="1"/>
      <c r="F25" s="25">
        <f>SUM(F17:F24)</f>
        <v>76</v>
      </c>
      <c r="G25" s="12">
        <f>SUM(G17:G24)</f>
        <v>249</v>
      </c>
      <c r="O25">
        <v>20</v>
      </c>
      <c r="P25" t="s">
        <v>494</v>
      </c>
      <c r="Q25">
        <v>1800</v>
      </c>
      <c r="R25">
        <v>80000</v>
      </c>
      <c r="S25">
        <v>144000000</v>
      </c>
    </row>
    <row r="26" spans="1:19" x14ac:dyDescent="0.2">
      <c r="A26" s="1"/>
      <c r="B26" t="s">
        <v>26</v>
      </c>
      <c r="C26" s="1"/>
      <c r="F26" s="2"/>
      <c r="O26">
        <v>21</v>
      </c>
      <c r="P26" t="s">
        <v>495</v>
      </c>
      <c r="Q26">
        <v>5792</v>
      </c>
      <c r="R26">
        <v>24500</v>
      </c>
      <c r="S26">
        <v>141904000</v>
      </c>
    </row>
    <row r="27" spans="1:19" x14ac:dyDescent="0.2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17" t="s">
        <v>117</v>
      </c>
      <c r="G27" s="3" t="s">
        <v>119</v>
      </c>
      <c r="O27">
        <v>22</v>
      </c>
      <c r="P27" t="s">
        <v>496</v>
      </c>
      <c r="Q27">
        <v>1320</v>
      </c>
      <c r="R27">
        <v>104000</v>
      </c>
      <c r="S27">
        <v>137280000</v>
      </c>
    </row>
    <row r="28" spans="1:19" x14ac:dyDescent="0.2">
      <c r="A28" s="5">
        <v>1</v>
      </c>
      <c r="B28" s="6" t="s">
        <v>27</v>
      </c>
      <c r="C28" s="7">
        <v>3</v>
      </c>
      <c r="D28" s="6">
        <v>157250</v>
      </c>
      <c r="E28" s="6">
        <f>(C28*D28)</f>
        <v>471750</v>
      </c>
      <c r="F28" s="24">
        <v>20</v>
      </c>
      <c r="G28" s="18">
        <f>C28*F28</f>
        <v>60</v>
      </c>
      <c r="O28">
        <v>23</v>
      </c>
      <c r="P28" t="s">
        <v>497</v>
      </c>
      <c r="Q28">
        <v>1770</v>
      </c>
      <c r="R28">
        <v>75000</v>
      </c>
      <c r="S28">
        <v>132750000</v>
      </c>
    </row>
    <row r="29" spans="1:19" x14ac:dyDescent="0.2">
      <c r="A29" s="5">
        <v>2</v>
      </c>
      <c r="B29" s="6" t="s">
        <v>28</v>
      </c>
      <c r="C29" s="7">
        <v>3</v>
      </c>
      <c r="D29" s="6">
        <v>157250</v>
      </c>
      <c r="E29" s="6">
        <f t="shared" ref="E29:E40" si="4">(C29*D29)</f>
        <v>471750</v>
      </c>
      <c r="F29" s="24">
        <v>20</v>
      </c>
      <c r="G29" s="18">
        <f t="shared" ref="G29:G40" si="5">C29*F29</f>
        <v>60</v>
      </c>
      <c r="O29">
        <v>24</v>
      </c>
      <c r="P29" t="s">
        <v>498</v>
      </c>
      <c r="Q29">
        <v>1492</v>
      </c>
      <c r="R29">
        <v>81000</v>
      </c>
      <c r="S29">
        <v>120852000</v>
      </c>
    </row>
    <row r="30" spans="1:19" x14ac:dyDescent="0.2">
      <c r="A30" s="5">
        <v>3</v>
      </c>
      <c r="B30" s="6" t="s">
        <v>29</v>
      </c>
      <c r="C30" s="7">
        <v>1</v>
      </c>
      <c r="D30" s="6">
        <v>153000</v>
      </c>
      <c r="E30" s="6">
        <f t="shared" si="4"/>
        <v>153000</v>
      </c>
      <c r="F30" s="24">
        <v>20</v>
      </c>
      <c r="G30" s="18">
        <f t="shared" si="5"/>
        <v>20</v>
      </c>
      <c r="O30">
        <v>25</v>
      </c>
      <c r="P30" t="s">
        <v>499</v>
      </c>
      <c r="Q30">
        <v>978</v>
      </c>
      <c r="R30">
        <v>115000</v>
      </c>
      <c r="S30">
        <v>112470000</v>
      </c>
    </row>
    <row r="31" spans="1:19" x14ac:dyDescent="0.2">
      <c r="A31" s="5">
        <v>4</v>
      </c>
      <c r="B31" s="6" t="s">
        <v>30</v>
      </c>
      <c r="C31" s="7">
        <v>1</v>
      </c>
      <c r="D31" s="6">
        <v>157250</v>
      </c>
      <c r="E31" s="6">
        <f t="shared" si="4"/>
        <v>157250</v>
      </c>
      <c r="F31" s="24">
        <v>20</v>
      </c>
      <c r="G31" s="18">
        <f t="shared" si="5"/>
        <v>20</v>
      </c>
      <c r="O31">
        <v>26</v>
      </c>
      <c r="P31" t="s">
        <v>500</v>
      </c>
      <c r="Q31">
        <v>363</v>
      </c>
      <c r="R31">
        <v>285000</v>
      </c>
      <c r="S31">
        <v>103455000</v>
      </c>
    </row>
    <row r="32" spans="1:19" x14ac:dyDescent="0.2">
      <c r="A32" s="5">
        <v>5</v>
      </c>
      <c r="B32" s="6" t="s">
        <v>31</v>
      </c>
      <c r="C32" s="7">
        <v>10</v>
      </c>
      <c r="D32" s="6">
        <v>25000</v>
      </c>
      <c r="E32" s="6">
        <f t="shared" si="4"/>
        <v>250000</v>
      </c>
      <c r="F32" s="24">
        <v>8</v>
      </c>
      <c r="G32" s="18">
        <f t="shared" si="5"/>
        <v>80</v>
      </c>
      <c r="O32">
        <v>27</v>
      </c>
      <c r="P32" t="s">
        <v>501</v>
      </c>
      <c r="Q32">
        <v>1574</v>
      </c>
      <c r="R32">
        <v>65500</v>
      </c>
      <c r="S32">
        <v>103097000</v>
      </c>
    </row>
    <row r="33" spans="1:19" x14ac:dyDescent="0.2">
      <c r="A33" s="5">
        <v>6</v>
      </c>
      <c r="B33" s="6" t="s">
        <v>32</v>
      </c>
      <c r="C33" s="7">
        <v>3</v>
      </c>
      <c r="D33" s="6">
        <v>104000</v>
      </c>
      <c r="E33" s="6">
        <f t="shared" si="4"/>
        <v>312000</v>
      </c>
      <c r="F33" s="24">
        <v>17</v>
      </c>
      <c r="G33" s="18">
        <f t="shared" si="5"/>
        <v>51</v>
      </c>
      <c r="O33">
        <v>28</v>
      </c>
      <c r="P33" t="s">
        <v>502</v>
      </c>
      <c r="Q33">
        <v>1824</v>
      </c>
      <c r="R33">
        <v>57500</v>
      </c>
      <c r="S33">
        <v>104880000</v>
      </c>
    </row>
    <row r="34" spans="1:19" x14ac:dyDescent="0.2">
      <c r="A34" s="5">
        <v>7</v>
      </c>
      <c r="B34" s="6" t="s">
        <v>33</v>
      </c>
      <c r="C34" s="7">
        <v>2</v>
      </c>
      <c r="D34" s="6">
        <v>96900</v>
      </c>
      <c r="E34" s="6">
        <f t="shared" si="4"/>
        <v>193800</v>
      </c>
      <c r="F34" s="24">
        <v>17</v>
      </c>
      <c r="G34" s="18">
        <f t="shared" si="5"/>
        <v>34</v>
      </c>
      <c r="O34">
        <v>29</v>
      </c>
      <c r="P34" t="s">
        <v>503</v>
      </c>
      <c r="Q34">
        <v>4400</v>
      </c>
      <c r="R34">
        <v>20500</v>
      </c>
      <c r="S34">
        <v>90200000</v>
      </c>
    </row>
    <row r="35" spans="1:19" x14ac:dyDescent="0.2">
      <c r="A35" s="5">
        <v>8</v>
      </c>
      <c r="B35" s="6" t="s">
        <v>34</v>
      </c>
      <c r="C35" s="7">
        <v>2</v>
      </c>
      <c r="D35" s="6">
        <v>103700</v>
      </c>
      <c r="E35" s="6">
        <f t="shared" si="4"/>
        <v>207400</v>
      </c>
      <c r="F35" s="24">
        <v>17</v>
      </c>
      <c r="G35" s="18">
        <f t="shared" si="5"/>
        <v>34</v>
      </c>
      <c r="O35">
        <v>30</v>
      </c>
      <c r="P35" t="s">
        <v>504</v>
      </c>
      <c r="Q35">
        <v>1100</v>
      </c>
      <c r="R35">
        <v>80000</v>
      </c>
      <c r="S35">
        <v>88000000</v>
      </c>
    </row>
    <row r="36" spans="1:19" x14ac:dyDescent="0.2">
      <c r="A36" s="5">
        <v>9</v>
      </c>
      <c r="B36" s="6" t="s">
        <v>35</v>
      </c>
      <c r="C36" s="7">
        <v>2</v>
      </c>
      <c r="D36" s="6">
        <v>119000</v>
      </c>
      <c r="E36" s="6">
        <f t="shared" si="4"/>
        <v>238000</v>
      </c>
      <c r="F36" s="24">
        <v>17</v>
      </c>
      <c r="G36" s="18">
        <f t="shared" si="5"/>
        <v>34</v>
      </c>
      <c r="O36">
        <v>31</v>
      </c>
      <c r="P36" t="s">
        <v>505</v>
      </c>
      <c r="Q36">
        <v>3360</v>
      </c>
      <c r="R36">
        <v>26000</v>
      </c>
      <c r="S36">
        <v>87360000</v>
      </c>
    </row>
    <row r="37" spans="1:19" x14ac:dyDescent="0.2">
      <c r="A37" s="5">
        <v>10</v>
      </c>
      <c r="B37" s="6" t="s">
        <v>36</v>
      </c>
      <c r="C37" s="7">
        <v>2</v>
      </c>
      <c r="D37" s="6">
        <v>85500</v>
      </c>
      <c r="E37" s="6">
        <f t="shared" si="4"/>
        <v>171000</v>
      </c>
      <c r="F37" s="24">
        <v>15</v>
      </c>
      <c r="G37" s="18">
        <f t="shared" si="5"/>
        <v>30</v>
      </c>
      <c r="O37">
        <v>32</v>
      </c>
      <c r="P37" t="s">
        <v>506</v>
      </c>
      <c r="Q37">
        <v>3517</v>
      </c>
      <c r="R37">
        <v>24000</v>
      </c>
      <c r="S37">
        <v>84408000</v>
      </c>
    </row>
    <row r="38" spans="1:19" x14ac:dyDescent="0.2">
      <c r="A38" s="5">
        <v>11</v>
      </c>
      <c r="B38" s="6" t="s">
        <v>37</v>
      </c>
      <c r="C38" s="7">
        <v>3</v>
      </c>
      <c r="D38" s="6">
        <v>27500</v>
      </c>
      <c r="E38" s="6">
        <f t="shared" si="4"/>
        <v>82500</v>
      </c>
      <c r="F38" s="24">
        <v>7</v>
      </c>
      <c r="G38" s="18">
        <f t="shared" si="5"/>
        <v>21</v>
      </c>
      <c r="O38">
        <v>33</v>
      </c>
      <c r="P38" t="s">
        <v>507</v>
      </c>
      <c r="Q38">
        <v>1220</v>
      </c>
      <c r="R38">
        <v>70000</v>
      </c>
      <c r="S38">
        <v>85400000</v>
      </c>
    </row>
    <row r="39" spans="1:19" x14ac:dyDescent="0.2">
      <c r="A39" s="5">
        <v>12</v>
      </c>
      <c r="B39" s="6" t="s">
        <v>38</v>
      </c>
      <c r="C39" s="7">
        <v>3</v>
      </c>
      <c r="D39" s="6">
        <v>27500</v>
      </c>
      <c r="E39" s="6">
        <f t="shared" si="4"/>
        <v>82500</v>
      </c>
      <c r="F39" s="24">
        <v>7</v>
      </c>
      <c r="G39" s="18">
        <f t="shared" si="5"/>
        <v>21</v>
      </c>
      <c r="O39">
        <v>34</v>
      </c>
      <c r="P39" t="s">
        <v>508</v>
      </c>
      <c r="Q39">
        <v>1071</v>
      </c>
      <c r="R39">
        <v>80000</v>
      </c>
      <c r="S39">
        <v>85680000</v>
      </c>
    </row>
    <row r="40" spans="1:19" x14ac:dyDescent="0.2">
      <c r="A40" s="5">
        <v>13</v>
      </c>
      <c r="B40" s="6" t="s">
        <v>39</v>
      </c>
      <c r="C40" s="5">
        <v>100</v>
      </c>
      <c r="D40" s="6">
        <v>150</v>
      </c>
      <c r="E40" s="6">
        <f t="shared" si="4"/>
        <v>15000</v>
      </c>
      <c r="F40" s="24">
        <v>2.5</v>
      </c>
      <c r="G40" s="18">
        <f t="shared" si="5"/>
        <v>250</v>
      </c>
      <c r="O40">
        <v>35</v>
      </c>
      <c r="P40" t="s">
        <v>509</v>
      </c>
      <c r="Q40">
        <v>1140</v>
      </c>
      <c r="R40">
        <v>72500</v>
      </c>
      <c r="S40">
        <v>82650000</v>
      </c>
    </row>
    <row r="41" spans="1:19" x14ac:dyDescent="0.2">
      <c r="A41" s="1"/>
      <c r="C41" s="1"/>
      <c r="F41" s="10">
        <f>SUM(F28:F40)</f>
        <v>187.5</v>
      </c>
      <c r="G41" s="12">
        <f>SUM(G28:G40)</f>
        <v>715</v>
      </c>
      <c r="O41">
        <v>36</v>
      </c>
      <c r="P41" t="s">
        <v>510</v>
      </c>
      <c r="Q41">
        <v>3873</v>
      </c>
      <c r="R41">
        <v>25000</v>
      </c>
      <c r="S41">
        <v>96825000</v>
      </c>
    </row>
    <row r="42" spans="1:19" x14ac:dyDescent="0.2">
      <c r="A42" s="1"/>
      <c r="B42" t="s">
        <v>40</v>
      </c>
      <c r="C42" s="1"/>
      <c r="F42" s="2"/>
      <c r="O42">
        <v>37</v>
      </c>
      <c r="P42" t="s">
        <v>511</v>
      </c>
      <c r="Q42">
        <v>1039</v>
      </c>
      <c r="R42">
        <v>70000</v>
      </c>
      <c r="S42">
        <v>72730000</v>
      </c>
    </row>
    <row r="43" spans="1:19" x14ac:dyDescent="0.2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17" t="s">
        <v>117</v>
      </c>
      <c r="G43" s="3" t="s">
        <v>119</v>
      </c>
      <c r="O43">
        <v>38</v>
      </c>
      <c r="P43" t="s">
        <v>512</v>
      </c>
      <c r="Q43">
        <v>1106</v>
      </c>
      <c r="R43">
        <v>65500</v>
      </c>
      <c r="S43">
        <v>72443000</v>
      </c>
    </row>
    <row r="44" spans="1:19" x14ac:dyDescent="0.2">
      <c r="A44" s="5">
        <v>1</v>
      </c>
      <c r="B44" s="6" t="s">
        <v>41</v>
      </c>
      <c r="C44" s="7">
        <v>8</v>
      </c>
      <c r="D44" s="6">
        <v>36000</v>
      </c>
      <c r="E44" s="6">
        <f>(C44*D44)</f>
        <v>288000</v>
      </c>
      <c r="F44" s="24">
        <v>4</v>
      </c>
      <c r="G44" s="18">
        <f>C44*F44</f>
        <v>32</v>
      </c>
      <c r="O44">
        <v>39</v>
      </c>
      <c r="P44" t="s">
        <v>513</v>
      </c>
      <c r="Q44">
        <v>636</v>
      </c>
      <c r="R44">
        <v>105000</v>
      </c>
      <c r="S44">
        <v>66780000</v>
      </c>
    </row>
    <row r="45" spans="1:19" x14ac:dyDescent="0.2">
      <c r="A45" s="5">
        <v>2</v>
      </c>
      <c r="B45" s="6" t="s">
        <v>42</v>
      </c>
      <c r="C45" s="7">
        <v>2</v>
      </c>
      <c r="D45" s="6">
        <v>35100</v>
      </c>
      <c r="E45" s="6">
        <f t="shared" ref="E45:E52" si="6">(C45*D45)</f>
        <v>70200</v>
      </c>
      <c r="F45" s="24">
        <v>4</v>
      </c>
      <c r="G45" s="18">
        <f t="shared" ref="G45:G52" si="7">C45*F45</f>
        <v>8</v>
      </c>
      <c r="O45">
        <v>40</v>
      </c>
      <c r="P45" t="s">
        <v>514</v>
      </c>
      <c r="Q45">
        <v>441</v>
      </c>
      <c r="R45">
        <v>85000</v>
      </c>
      <c r="S45">
        <v>37485000</v>
      </c>
    </row>
    <row r="46" spans="1:19" x14ac:dyDescent="0.2">
      <c r="A46" s="5">
        <v>3</v>
      </c>
      <c r="B46" s="6" t="s">
        <v>43</v>
      </c>
      <c r="C46" s="7">
        <v>4</v>
      </c>
      <c r="D46" s="6">
        <v>37500</v>
      </c>
      <c r="E46" s="6">
        <f t="shared" si="6"/>
        <v>150000</v>
      </c>
      <c r="F46" s="24">
        <v>5</v>
      </c>
      <c r="G46" s="18">
        <f t="shared" si="7"/>
        <v>20</v>
      </c>
      <c r="O46">
        <v>41</v>
      </c>
      <c r="P46" t="s">
        <v>515</v>
      </c>
      <c r="Q46">
        <v>2970</v>
      </c>
      <c r="R46">
        <v>25000</v>
      </c>
      <c r="S46">
        <v>74250000</v>
      </c>
    </row>
    <row r="47" spans="1:19" x14ac:dyDescent="0.2">
      <c r="A47" s="5">
        <v>4</v>
      </c>
      <c r="B47" s="6" t="s">
        <v>44</v>
      </c>
      <c r="C47" s="7">
        <v>5</v>
      </c>
      <c r="D47" s="6">
        <v>6500</v>
      </c>
      <c r="E47" s="6">
        <f t="shared" si="6"/>
        <v>32500</v>
      </c>
      <c r="F47" s="24">
        <v>2</v>
      </c>
      <c r="G47" s="18">
        <f t="shared" si="7"/>
        <v>10</v>
      </c>
      <c r="O47">
        <v>42</v>
      </c>
      <c r="P47" t="s">
        <v>516</v>
      </c>
      <c r="Q47">
        <v>3740</v>
      </c>
      <c r="R47">
        <v>27000</v>
      </c>
      <c r="S47">
        <v>100980000</v>
      </c>
    </row>
    <row r="48" spans="1:19" x14ac:dyDescent="0.2">
      <c r="A48" s="5">
        <v>5</v>
      </c>
      <c r="B48" s="6" t="s">
        <v>45</v>
      </c>
      <c r="C48" s="7">
        <v>5</v>
      </c>
      <c r="D48" s="6">
        <v>6500</v>
      </c>
      <c r="E48" s="6">
        <f t="shared" si="6"/>
        <v>32500</v>
      </c>
      <c r="F48" s="24">
        <v>2</v>
      </c>
      <c r="G48" s="18">
        <f t="shared" si="7"/>
        <v>10</v>
      </c>
      <c r="O48">
        <v>43</v>
      </c>
      <c r="P48" t="s">
        <v>517</v>
      </c>
      <c r="Q48">
        <v>831</v>
      </c>
      <c r="R48">
        <v>70000</v>
      </c>
      <c r="S48">
        <v>58170000</v>
      </c>
    </row>
    <row r="49" spans="1:19" x14ac:dyDescent="0.2">
      <c r="A49" s="5">
        <v>6</v>
      </c>
      <c r="B49" s="6" t="s">
        <v>46</v>
      </c>
      <c r="C49" s="7">
        <v>4</v>
      </c>
      <c r="D49" s="6">
        <v>115000</v>
      </c>
      <c r="E49" s="6">
        <f t="shared" si="6"/>
        <v>460000</v>
      </c>
      <c r="F49" s="24">
        <v>15</v>
      </c>
      <c r="G49" s="18">
        <f t="shared" si="7"/>
        <v>60</v>
      </c>
      <c r="O49">
        <v>44</v>
      </c>
      <c r="P49" t="s">
        <v>518</v>
      </c>
      <c r="Q49">
        <v>468</v>
      </c>
      <c r="R49">
        <v>70000</v>
      </c>
      <c r="S49">
        <v>32760000</v>
      </c>
    </row>
    <row r="50" spans="1:19" x14ac:dyDescent="0.2">
      <c r="A50" s="5">
        <v>7</v>
      </c>
      <c r="B50" s="6" t="s">
        <v>47</v>
      </c>
      <c r="C50" s="7">
        <v>2</v>
      </c>
      <c r="D50" s="6">
        <v>12000</v>
      </c>
      <c r="E50" s="6">
        <f t="shared" si="6"/>
        <v>24000</v>
      </c>
      <c r="F50" s="24">
        <v>2.5</v>
      </c>
      <c r="G50" s="18">
        <f t="shared" si="7"/>
        <v>5</v>
      </c>
      <c r="O50">
        <v>45</v>
      </c>
      <c r="P50" t="s">
        <v>519</v>
      </c>
      <c r="Q50">
        <v>800</v>
      </c>
      <c r="R50">
        <v>70000</v>
      </c>
      <c r="S50">
        <v>56000000</v>
      </c>
    </row>
    <row r="51" spans="1:19" x14ac:dyDescent="0.2">
      <c r="A51" s="5">
        <v>8</v>
      </c>
      <c r="B51" s="6" t="s">
        <v>48</v>
      </c>
      <c r="C51" s="7">
        <v>4</v>
      </c>
      <c r="D51" s="6">
        <v>12000</v>
      </c>
      <c r="E51" s="6">
        <f t="shared" si="6"/>
        <v>48000</v>
      </c>
      <c r="F51" s="24">
        <v>2.5</v>
      </c>
      <c r="G51" s="18">
        <f t="shared" si="7"/>
        <v>10</v>
      </c>
      <c r="O51">
        <v>46</v>
      </c>
      <c r="P51" t="s">
        <v>520</v>
      </c>
      <c r="Q51">
        <v>800</v>
      </c>
      <c r="R51">
        <v>65500</v>
      </c>
      <c r="S51">
        <v>52400000</v>
      </c>
    </row>
    <row r="52" spans="1:19" x14ac:dyDescent="0.2">
      <c r="A52" s="5">
        <v>9</v>
      </c>
      <c r="B52" s="6" t="s">
        <v>49</v>
      </c>
      <c r="C52" s="7">
        <v>2</v>
      </c>
      <c r="D52" s="6">
        <v>26500</v>
      </c>
      <c r="E52" s="6">
        <f t="shared" si="6"/>
        <v>53000</v>
      </c>
      <c r="F52" s="24">
        <v>5</v>
      </c>
      <c r="G52" s="18">
        <f t="shared" si="7"/>
        <v>10</v>
      </c>
      <c r="O52">
        <v>47</v>
      </c>
      <c r="P52" t="s">
        <v>521</v>
      </c>
      <c r="Q52">
        <v>587</v>
      </c>
      <c r="R52">
        <v>80000</v>
      </c>
      <c r="S52">
        <v>46960000</v>
      </c>
    </row>
    <row r="53" spans="1:19" x14ac:dyDescent="0.2">
      <c r="A53" s="1"/>
      <c r="C53" s="1"/>
      <c r="F53" s="10">
        <f>SUM(F44:F52)</f>
        <v>42</v>
      </c>
      <c r="G53" s="12">
        <f>SUM(G44:G52)</f>
        <v>165</v>
      </c>
      <c r="O53">
        <v>48</v>
      </c>
      <c r="P53" t="s">
        <v>522</v>
      </c>
      <c r="Q53">
        <v>469</v>
      </c>
      <c r="R53">
        <v>70000</v>
      </c>
      <c r="S53">
        <v>32830000</v>
      </c>
    </row>
    <row r="54" spans="1:19" x14ac:dyDescent="0.2">
      <c r="A54" s="1"/>
      <c r="B54" t="s">
        <v>50</v>
      </c>
      <c r="C54" s="1"/>
      <c r="F54" s="2"/>
      <c r="O54">
        <v>49</v>
      </c>
      <c r="P54" t="s">
        <v>523</v>
      </c>
      <c r="Q54">
        <v>261</v>
      </c>
      <c r="R54">
        <v>72500</v>
      </c>
      <c r="S54">
        <v>18922500</v>
      </c>
    </row>
    <row r="55" spans="1:19" x14ac:dyDescent="0.2">
      <c r="A55" s="3" t="s">
        <v>2</v>
      </c>
      <c r="B55" s="3" t="s">
        <v>3</v>
      </c>
      <c r="C55" s="3" t="s">
        <v>4</v>
      </c>
      <c r="D55" s="3" t="s">
        <v>5</v>
      </c>
      <c r="E55" s="3" t="s">
        <v>6</v>
      </c>
      <c r="F55" s="17" t="s">
        <v>117</v>
      </c>
      <c r="G55" s="3" t="s">
        <v>119</v>
      </c>
      <c r="O55">
        <v>50</v>
      </c>
      <c r="P55" t="s">
        <v>524</v>
      </c>
      <c r="Q55">
        <v>2509</v>
      </c>
      <c r="R55">
        <v>14500</v>
      </c>
      <c r="S55">
        <v>36380500</v>
      </c>
    </row>
    <row r="56" spans="1:19" x14ac:dyDescent="0.2">
      <c r="A56" s="5">
        <v>1</v>
      </c>
      <c r="B56" s="6" t="s">
        <v>51</v>
      </c>
      <c r="C56" s="7">
        <v>4</v>
      </c>
      <c r="D56" s="6">
        <v>266900</v>
      </c>
      <c r="E56" s="6">
        <f>(C56*D56)</f>
        <v>1067600</v>
      </c>
      <c r="F56" s="24">
        <v>28</v>
      </c>
      <c r="G56" s="18">
        <f>C56*F56</f>
        <v>112</v>
      </c>
      <c r="O56">
        <v>51</v>
      </c>
      <c r="P56" t="s">
        <v>525</v>
      </c>
      <c r="Q56">
        <v>840</v>
      </c>
      <c r="R56">
        <v>43500</v>
      </c>
      <c r="S56">
        <v>36540000</v>
      </c>
    </row>
    <row r="57" spans="1:19" x14ac:dyDescent="0.2">
      <c r="A57" s="5">
        <v>2</v>
      </c>
      <c r="B57" s="6" t="s">
        <v>52</v>
      </c>
      <c r="C57" s="7">
        <v>4</v>
      </c>
      <c r="D57" s="6">
        <v>266900</v>
      </c>
      <c r="E57" s="6">
        <f t="shared" ref="E57:E65" si="8">(C57*D57)</f>
        <v>1067600</v>
      </c>
      <c r="F57" s="24">
        <v>28</v>
      </c>
      <c r="G57" s="18">
        <f t="shared" ref="G57:G65" si="9">C57*F57</f>
        <v>112</v>
      </c>
      <c r="O57">
        <v>52</v>
      </c>
      <c r="P57" t="s">
        <v>526</v>
      </c>
      <c r="Q57">
        <v>900</v>
      </c>
      <c r="R57">
        <v>40000</v>
      </c>
      <c r="S57">
        <v>36000000</v>
      </c>
    </row>
    <row r="58" spans="1:19" x14ac:dyDescent="0.2">
      <c r="A58" s="5">
        <v>3</v>
      </c>
      <c r="B58" s="6" t="s">
        <v>53</v>
      </c>
      <c r="C58" s="7">
        <v>4</v>
      </c>
      <c r="D58" s="6">
        <v>107950</v>
      </c>
      <c r="E58" s="6">
        <f t="shared" si="8"/>
        <v>431800</v>
      </c>
      <c r="F58" s="24">
        <v>15</v>
      </c>
      <c r="G58" s="18">
        <f t="shared" si="9"/>
        <v>60</v>
      </c>
      <c r="O58">
        <v>53</v>
      </c>
      <c r="P58" t="s">
        <v>527</v>
      </c>
      <c r="Q58">
        <v>1211</v>
      </c>
      <c r="R58">
        <v>14250</v>
      </c>
      <c r="S58">
        <v>17256750</v>
      </c>
    </row>
    <row r="59" spans="1:19" x14ac:dyDescent="0.2">
      <c r="A59" s="5">
        <v>4</v>
      </c>
      <c r="B59" s="6" t="s">
        <v>54</v>
      </c>
      <c r="C59" s="7">
        <v>4</v>
      </c>
      <c r="D59" s="6">
        <v>114300</v>
      </c>
      <c r="E59" s="6">
        <f t="shared" si="8"/>
        <v>457200</v>
      </c>
      <c r="F59" s="24">
        <v>15</v>
      </c>
      <c r="G59" s="18">
        <f t="shared" si="9"/>
        <v>60</v>
      </c>
      <c r="O59">
        <v>54</v>
      </c>
      <c r="P59" t="s">
        <v>528</v>
      </c>
      <c r="Q59">
        <v>700</v>
      </c>
      <c r="R59">
        <v>17500</v>
      </c>
      <c r="S59">
        <v>12250000</v>
      </c>
    </row>
    <row r="60" spans="1:19" x14ac:dyDescent="0.2">
      <c r="A60" s="5">
        <v>5</v>
      </c>
      <c r="B60" s="6" t="s">
        <v>55</v>
      </c>
      <c r="C60" s="7">
        <v>1</v>
      </c>
      <c r="D60" s="6">
        <v>141800</v>
      </c>
      <c r="E60" s="6" t="e">
        <f>(#REF!*D60)</f>
        <v>#REF!</v>
      </c>
      <c r="F60" s="24">
        <v>18</v>
      </c>
      <c r="G60" s="18">
        <f t="shared" si="9"/>
        <v>18</v>
      </c>
      <c r="O60">
        <v>55</v>
      </c>
      <c r="P60" t="s">
        <v>529</v>
      </c>
      <c r="Q60">
        <v>1503</v>
      </c>
      <c r="R60">
        <v>17000</v>
      </c>
      <c r="S60">
        <v>25551000</v>
      </c>
    </row>
    <row r="61" spans="1:19" x14ac:dyDescent="0.2">
      <c r="A61" s="5">
        <v>6</v>
      </c>
      <c r="B61" s="6" t="s">
        <v>56</v>
      </c>
      <c r="C61" s="8">
        <v>1</v>
      </c>
      <c r="D61" s="6">
        <v>108900</v>
      </c>
      <c r="E61" s="6">
        <f>(C60*D61)</f>
        <v>108900</v>
      </c>
      <c r="F61" s="24">
        <v>15</v>
      </c>
      <c r="G61" s="18">
        <f t="shared" si="9"/>
        <v>15</v>
      </c>
      <c r="O61">
        <v>56</v>
      </c>
      <c r="P61" t="s">
        <v>530</v>
      </c>
      <c r="Q61">
        <v>19904</v>
      </c>
      <c r="R61">
        <v>1400</v>
      </c>
      <c r="S61">
        <v>27865600</v>
      </c>
    </row>
    <row r="62" spans="1:19" x14ac:dyDescent="0.2">
      <c r="A62" s="5">
        <v>7</v>
      </c>
      <c r="B62" s="6" t="s">
        <v>57</v>
      </c>
      <c r="C62" s="7">
        <v>1</v>
      </c>
      <c r="D62" s="6">
        <v>123300</v>
      </c>
      <c r="E62" s="6">
        <f t="shared" si="8"/>
        <v>123300</v>
      </c>
      <c r="F62" s="24">
        <v>15</v>
      </c>
      <c r="G62" s="18">
        <f t="shared" si="9"/>
        <v>15</v>
      </c>
      <c r="O62">
        <v>57</v>
      </c>
      <c r="P62" t="s">
        <v>531</v>
      </c>
      <c r="Q62">
        <v>7100</v>
      </c>
      <c r="R62">
        <v>2000</v>
      </c>
      <c r="S62">
        <v>14200000</v>
      </c>
    </row>
    <row r="63" spans="1:19" x14ac:dyDescent="0.2">
      <c r="A63" s="5">
        <v>8</v>
      </c>
      <c r="B63" s="6" t="s">
        <v>58</v>
      </c>
      <c r="C63" s="7">
        <v>13</v>
      </c>
      <c r="D63" s="6">
        <v>40500</v>
      </c>
      <c r="E63" s="6">
        <f t="shared" si="8"/>
        <v>526500</v>
      </c>
      <c r="F63" s="24">
        <v>5</v>
      </c>
      <c r="G63" s="18">
        <f t="shared" si="9"/>
        <v>65</v>
      </c>
      <c r="O63">
        <v>58</v>
      </c>
      <c r="P63" t="s">
        <v>532</v>
      </c>
      <c r="Q63">
        <v>234600</v>
      </c>
      <c r="R63">
        <v>400</v>
      </c>
      <c r="S63">
        <v>93840000</v>
      </c>
    </row>
    <row r="64" spans="1:19" x14ac:dyDescent="0.2">
      <c r="A64" s="5">
        <v>9</v>
      </c>
      <c r="B64" s="6" t="s">
        <v>59</v>
      </c>
      <c r="C64" s="7">
        <v>2</v>
      </c>
      <c r="D64" s="6">
        <v>106200</v>
      </c>
      <c r="E64" s="6">
        <f t="shared" si="8"/>
        <v>212400</v>
      </c>
      <c r="F64" s="24">
        <v>15</v>
      </c>
      <c r="G64" s="18">
        <f t="shared" si="9"/>
        <v>30</v>
      </c>
      <c r="O64">
        <v>59</v>
      </c>
      <c r="P64" t="s">
        <v>533</v>
      </c>
      <c r="Q64">
        <v>241573</v>
      </c>
      <c r="R64">
        <v>400</v>
      </c>
      <c r="S64">
        <v>96629200</v>
      </c>
    </row>
    <row r="65" spans="1:19" x14ac:dyDescent="0.2">
      <c r="A65" s="5">
        <v>10</v>
      </c>
      <c r="B65" s="6" t="s">
        <v>42</v>
      </c>
      <c r="C65" s="7">
        <v>3</v>
      </c>
      <c r="D65" s="6">
        <v>35100</v>
      </c>
      <c r="E65" s="6">
        <f t="shared" si="8"/>
        <v>105300</v>
      </c>
      <c r="F65" s="24">
        <v>5</v>
      </c>
      <c r="G65" s="18">
        <f t="shared" si="9"/>
        <v>15</v>
      </c>
      <c r="O65">
        <v>60</v>
      </c>
      <c r="P65" t="s">
        <v>534</v>
      </c>
      <c r="Q65">
        <v>19638</v>
      </c>
      <c r="R65">
        <v>1700</v>
      </c>
      <c r="S65">
        <v>33384600</v>
      </c>
    </row>
    <row r="66" spans="1:19" x14ac:dyDescent="0.2">
      <c r="A66" s="1"/>
      <c r="C66" s="1"/>
      <c r="F66" s="10">
        <f>SUM(F56:F65)</f>
        <v>159</v>
      </c>
      <c r="G66" s="12">
        <f>SUM(G56:G65)</f>
        <v>502</v>
      </c>
    </row>
    <row r="67" spans="1:19" x14ac:dyDescent="0.2">
      <c r="A67" s="1"/>
      <c r="B67" t="s">
        <v>60</v>
      </c>
      <c r="C67" s="1"/>
      <c r="F67" s="2"/>
    </row>
    <row r="68" spans="1:19" x14ac:dyDescent="0.2">
      <c r="A68" s="3" t="s">
        <v>2</v>
      </c>
      <c r="B68" s="3" t="s">
        <v>3</v>
      </c>
      <c r="C68" s="3" t="s">
        <v>4</v>
      </c>
      <c r="D68" s="3" t="s">
        <v>5</v>
      </c>
      <c r="E68" s="3" t="s">
        <v>6</v>
      </c>
      <c r="F68" s="17" t="s">
        <v>117</v>
      </c>
      <c r="G68" s="3" t="s">
        <v>119</v>
      </c>
    </row>
    <row r="69" spans="1:19" x14ac:dyDescent="0.2">
      <c r="A69" s="5">
        <v>1</v>
      </c>
      <c r="B69" s="6" t="s">
        <v>20</v>
      </c>
      <c r="C69" s="7">
        <v>7</v>
      </c>
      <c r="D69" s="6">
        <v>41400</v>
      </c>
      <c r="E69" s="6">
        <f>(C69*D69)</f>
        <v>289800</v>
      </c>
      <c r="F69" s="24">
        <v>5</v>
      </c>
      <c r="G69" s="18">
        <f>C69*F69</f>
        <v>35</v>
      </c>
    </row>
    <row r="70" spans="1:19" x14ac:dyDescent="0.2">
      <c r="A70" s="5">
        <v>2</v>
      </c>
      <c r="B70" s="6" t="s">
        <v>19</v>
      </c>
      <c r="C70" s="7">
        <v>5</v>
      </c>
      <c r="D70" s="6">
        <v>36000</v>
      </c>
      <c r="E70" s="6">
        <f>(C70*D70)</f>
        <v>180000</v>
      </c>
      <c r="F70" s="24">
        <v>4</v>
      </c>
      <c r="G70" s="18">
        <f>C70*F70</f>
        <v>20</v>
      </c>
    </row>
    <row r="71" spans="1:19" x14ac:dyDescent="0.2">
      <c r="A71" s="5">
        <v>3</v>
      </c>
      <c r="B71" s="6" t="s">
        <v>18</v>
      </c>
      <c r="C71" s="7">
        <v>2</v>
      </c>
      <c r="D71" s="6">
        <v>38700</v>
      </c>
      <c r="E71" s="6">
        <f>(C71*D71)</f>
        <v>77400</v>
      </c>
      <c r="F71" s="24">
        <v>4</v>
      </c>
      <c r="G71" s="18">
        <f>C71*F71</f>
        <v>8</v>
      </c>
    </row>
    <row r="72" spans="1:19" x14ac:dyDescent="0.2">
      <c r="A72" s="1"/>
      <c r="C72" s="1"/>
      <c r="F72" s="10">
        <f>SUM(F69:F71)</f>
        <v>13</v>
      </c>
      <c r="G72" s="10">
        <f>SUM(G69:G71)</f>
        <v>63</v>
      </c>
    </row>
    <row r="73" spans="1:19" x14ac:dyDescent="0.2">
      <c r="A73" s="1"/>
      <c r="B73" t="s">
        <v>61</v>
      </c>
      <c r="C73" s="1"/>
      <c r="F73" s="2"/>
    </row>
    <row r="74" spans="1:19" x14ac:dyDescent="0.2">
      <c r="A74" s="3" t="s">
        <v>2</v>
      </c>
      <c r="B74" s="3" t="s">
        <v>3</v>
      </c>
      <c r="C74" s="3" t="s">
        <v>4</v>
      </c>
      <c r="D74" s="3" t="s">
        <v>5</v>
      </c>
      <c r="E74" s="3" t="s">
        <v>6</v>
      </c>
      <c r="F74" s="4" t="s">
        <v>117</v>
      </c>
      <c r="G74" s="11" t="s">
        <v>119</v>
      </c>
    </row>
    <row r="75" spans="1:19" x14ac:dyDescent="0.2">
      <c r="A75" s="5">
        <v>1</v>
      </c>
      <c r="B75" s="6" t="s">
        <v>42</v>
      </c>
      <c r="C75" s="7">
        <v>3</v>
      </c>
      <c r="D75" s="6">
        <v>35100</v>
      </c>
      <c r="E75" s="6">
        <f>(C75*D75)</f>
        <v>105300</v>
      </c>
      <c r="F75" s="10"/>
      <c r="G75" s="10">
        <f>C75*F75</f>
        <v>0</v>
      </c>
    </row>
    <row r="76" spans="1:19" x14ac:dyDescent="0.2">
      <c r="A76" s="13">
        <v>2</v>
      </c>
      <c r="B76" s="14" t="s">
        <v>20</v>
      </c>
      <c r="C76" s="13">
        <v>4</v>
      </c>
      <c r="D76" s="14">
        <v>41400</v>
      </c>
      <c r="E76" s="14">
        <f>(C76*D76)</f>
        <v>165600</v>
      </c>
      <c r="F76" s="15"/>
      <c r="G76" s="15">
        <f>C76*F76</f>
        <v>0</v>
      </c>
    </row>
    <row r="77" spans="1:19" x14ac:dyDescent="0.2">
      <c r="A77" s="13">
        <v>3</v>
      </c>
      <c r="B77" s="14" t="s">
        <v>62</v>
      </c>
      <c r="C77" s="13">
        <v>4</v>
      </c>
      <c r="D77" s="14">
        <v>36000</v>
      </c>
      <c r="E77" s="14">
        <f>(C77*D77)</f>
        <v>144000</v>
      </c>
      <c r="F77" s="15"/>
      <c r="G77" s="15">
        <f>C77*F77</f>
        <v>0</v>
      </c>
    </row>
    <row r="78" spans="1:19" x14ac:dyDescent="0.2">
      <c r="A78" s="1"/>
      <c r="C78" s="1"/>
      <c r="F78" s="10">
        <f>SUM(F77)</f>
        <v>0</v>
      </c>
    </row>
    <row r="79" spans="1:19" x14ac:dyDescent="0.2">
      <c r="A79" s="1"/>
      <c r="B79" t="s">
        <v>63</v>
      </c>
      <c r="C79" s="1"/>
      <c r="F79" s="2"/>
    </row>
    <row r="80" spans="1:19" x14ac:dyDescent="0.2">
      <c r="A80" s="3" t="s">
        <v>2</v>
      </c>
      <c r="B80" s="3" t="s">
        <v>3</v>
      </c>
      <c r="C80" s="3" t="s">
        <v>4</v>
      </c>
      <c r="D80" s="3" t="s">
        <v>5</v>
      </c>
      <c r="E80" s="3" t="s">
        <v>6</v>
      </c>
      <c r="F80" s="17" t="s">
        <v>117</v>
      </c>
      <c r="G80" s="3" t="s">
        <v>119</v>
      </c>
    </row>
    <row r="81" spans="1:7" x14ac:dyDescent="0.2">
      <c r="A81" s="5">
        <v>1</v>
      </c>
      <c r="B81" s="6" t="s">
        <v>64</v>
      </c>
      <c r="C81" s="7">
        <v>6</v>
      </c>
      <c r="D81" s="6">
        <v>95200</v>
      </c>
      <c r="E81" s="6">
        <f>(C81*D81)</f>
        <v>571200</v>
      </c>
      <c r="F81" s="24">
        <v>15</v>
      </c>
      <c r="G81" s="18">
        <f>C81*F81</f>
        <v>90</v>
      </c>
    </row>
    <row r="82" spans="1:7" x14ac:dyDescent="0.2">
      <c r="A82" s="5">
        <v>2</v>
      </c>
      <c r="B82" s="6" t="s">
        <v>65</v>
      </c>
      <c r="C82" s="7">
        <v>3</v>
      </c>
      <c r="D82" s="6">
        <v>96900</v>
      </c>
      <c r="E82" s="6">
        <f t="shared" ref="E82:E96" si="10">(C82*D82)</f>
        <v>290700</v>
      </c>
      <c r="F82" s="24">
        <v>15</v>
      </c>
      <c r="G82" s="18">
        <f t="shared" ref="G82:G96" si="11">C82*F82</f>
        <v>45</v>
      </c>
    </row>
    <row r="83" spans="1:7" x14ac:dyDescent="0.2">
      <c r="A83" s="5">
        <v>3</v>
      </c>
      <c r="B83" s="6" t="s">
        <v>66</v>
      </c>
      <c r="C83" s="7">
        <v>4</v>
      </c>
      <c r="D83" s="6">
        <v>119000</v>
      </c>
      <c r="E83" s="6">
        <f t="shared" si="10"/>
        <v>476000</v>
      </c>
      <c r="F83" s="24">
        <v>15</v>
      </c>
      <c r="G83" s="18">
        <f t="shared" si="11"/>
        <v>60</v>
      </c>
    </row>
    <row r="84" spans="1:7" x14ac:dyDescent="0.2">
      <c r="A84" s="5">
        <v>4</v>
      </c>
      <c r="B84" s="6" t="s">
        <v>67</v>
      </c>
      <c r="C84" s="7">
        <v>6</v>
      </c>
      <c r="D84" s="6">
        <v>96900</v>
      </c>
      <c r="E84" s="6">
        <f t="shared" si="10"/>
        <v>581400</v>
      </c>
      <c r="F84" s="24">
        <v>15</v>
      </c>
      <c r="G84" s="18">
        <f t="shared" si="11"/>
        <v>90</v>
      </c>
    </row>
    <row r="85" spans="1:7" x14ac:dyDescent="0.2">
      <c r="A85" s="5">
        <v>5</v>
      </c>
      <c r="B85" s="6" t="s">
        <v>68</v>
      </c>
      <c r="C85" s="7">
        <v>2</v>
      </c>
      <c r="D85" s="6">
        <v>96900</v>
      </c>
      <c r="E85" s="6">
        <f t="shared" si="10"/>
        <v>193800</v>
      </c>
      <c r="F85" s="24">
        <v>15</v>
      </c>
      <c r="G85" s="18">
        <f t="shared" si="11"/>
        <v>30</v>
      </c>
    </row>
    <row r="86" spans="1:7" x14ac:dyDescent="0.2">
      <c r="A86" s="5">
        <v>6</v>
      </c>
      <c r="B86" s="6" t="s">
        <v>69</v>
      </c>
      <c r="C86" s="7">
        <v>7</v>
      </c>
      <c r="D86" s="6">
        <v>39100</v>
      </c>
      <c r="E86" s="6">
        <f t="shared" si="10"/>
        <v>273700</v>
      </c>
      <c r="F86" s="24">
        <v>6</v>
      </c>
      <c r="G86" s="18">
        <f t="shared" si="11"/>
        <v>42</v>
      </c>
    </row>
    <row r="87" spans="1:7" x14ac:dyDescent="0.2">
      <c r="A87" s="5">
        <v>7</v>
      </c>
      <c r="B87" s="6" t="s">
        <v>70</v>
      </c>
      <c r="C87" s="7">
        <v>4</v>
      </c>
      <c r="D87" s="6">
        <v>39100</v>
      </c>
      <c r="E87" s="6">
        <f t="shared" si="10"/>
        <v>156400</v>
      </c>
      <c r="F87" s="24">
        <v>6</v>
      </c>
      <c r="G87" s="18">
        <f t="shared" si="11"/>
        <v>24</v>
      </c>
    </row>
    <row r="88" spans="1:7" x14ac:dyDescent="0.2">
      <c r="A88" s="5">
        <v>8</v>
      </c>
      <c r="B88" s="6" t="s">
        <v>71</v>
      </c>
      <c r="C88" s="7">
        <v>17</v>
      </c>
      <c r="D88" s="6">
        <v>52700</v>
      </c>
      <c r="E88" s="6">
        <f t="shared" si="10"/>
        <v>895900</v>
      </c>
      <c r="F88" s="24">
        <v>9</v>
      </c>
      <c r="G88" s="18">
        <f t="shared" si="11"/>
        <v>153</v>
      </c>
    </row>
    <row r="89" spans="1:7" x14ac:dyDescent="0.2">
      <c r="A89" s="5">
        <v>9</v>
      </c>
      <c r="B89" s="6" t="s">
        <v>72</v>
      </c>
      <c r="C89" s="7">
        <v>4</v>
      </c>
      <c r="D89" s="6">
        <v>26500</v>
      </c>
      <c r="E89" s="6">
        <f t="shared" si="10"/>
        <v>106000</v>
      </c>
      <c r="F89" s="24">
        <v>4</v>
      </c>
      <c r="G89" s="18">
        <f t="shared" si="11"/>
        <v>16</v>
      </c>
    </row>
    <row r="90" spans="1:7" x14ac:dyDescent="0.2">
      <c r="A90" s="5">
        <v>10</v>
      </c>
      <c r="B90" s="6" t="s">
        <v>73</v>
      </c>
      <c r="C90" s="7">
        <v>2</v>
      </c>
      <c r="D90" s="6">
        <v>26500</v>
      </c>
      <c r="E90" s="6">
        <f t="shared" si="10"/>
        <v>53000</v>
      </c>
      <c r="F90" s="24">
        <v>4</v>
      </c>
      <c r="G90" s="18">
        <f t="shared" si="11"/>
        <v>8</v>
      </c>
    </row>
    <row r="91" spans="1:7" x14ac:dyDescent="0.2">
      <c r="A91" s="5">
        <v>11</v>
      </c>
      <c r="B91" s="6" t="s">
        <v>74</v>
      </c>
      <c r="C91" s="7">
        <v>1</v>
      </c>
      <c r="D91" s="6">
        <v>18000</v>
      </c>
      <c r="E91" s="6">
        <f t="shared" si="10"/>
        <v>18000</v>
      </c>
      <c r="F91" s="24">
        <v>2</v>
      </c>
      <c r="G91" s="18">
        <f t="shared" si="11"/>
        <v>2</v>
      </c>
    </row>
    <row r="92" spans="1:7" x14ac:dyDescent="0.2">
      <c r="A92" s="5">
        <v>12</v>
      </c>
      <c r="B92" s="6" t="s">
        <v>75</v>
      </c>
      <c r="C92" s="7">
        <v>1</v>
      </c>
      <c r="D92" s="6">
        <v>18000</v>
      </c>
      <c r="E92" s="6">
        <f t="shared" si="10"/>
        <v>18000</v>
      </c>
      <c r="F92" s="24">
        <v>2</v>
      </c>
      <c r="G92" s="18">
        <f t="shared" si="11"/>
        <v>2</v>
      </c>
    </row>
    <row r="93" spans="1:7" x14ac:dyDescent="0.2">
      <c r="A93" s="5">
        <v>13</v>
      </c>
      <c r="B93" s="6" t="s">
        <v>76</v>
      </c>
      <c r="C93" s="7">
        <v>1</v>
      </c>
      <c r="D93" s="6">
        <v>18000</v>
      </c>
      <c r="E93" s="6">
        <f t="shared" si="10"/>
        <v>18000</v>
      </c>
      <c r="F93" s="24">
        <v>2</v>
      </c>
      <c r="G93" s="18">
        <f t="shared" si="11"/>
        <v>2</v>
      </c>
    </row>
    <row r="94" spans="1:7" x14ac:dyDescent="0.2">
      <c r="A94" s="5">
        <v>14</v>
      </c>
      <c r="B94" s="6" t="s">
        <v>77</v>
      </c>
      <c r="C94" s="7">
        <v>4</v>
      </c>
      <c r="D94" s="6">
        <v>26000</v>
      </c>
      <c r="E94" s="6">
        <f t="shared" si="10"/>
        <v>104000</v>
      </c>
      <c r="F94" s="24">
        <v>4</v>
      </c>
      <c r="G94" s="18">
        <f t="shared" si="11"/>
        <v>16</v>
      </c>
    </row>
    <row r="95" spans="1:7" x14ac:dyDescent="0.2">
      <c r="A95" s="5">
        <v>15</v>
      </c>
      <c r="B95" s="6" t="s">
        <v>78</v>
      </c>
      <c r="C95" s="7">
        <v>10</v>
      </c>
      <c r="D95" s="6">
        <v>25000</v>
      </c>
      <c r="E95" s="6">
        <f t="shared" si="10"/>
        <v>250000</v>
      </c>
      <c r="F95" s="24">
        <v>7</v>
      </c>
      <c r="G95" s="18">
        <f t="shared" si="11"/>
        <v>70</v>
      </c>
    </row>
    <row r="96" spans="1:7" x14ac:dyDescent="0.2">
      <c r="A96" s="5">
        <v>16</v>
      </c>
      <c r="B96" s="6" t="s">
        <v>79</v>
      </c>
      <c r="C96" s="7">
        <v>3</v>
      </c>
      <c r="D96" s="6">
        <v>29000</v>
      </c>
      <c r="E96" s="6">
        <f t="shared" si="10"/>
        <v>87000</v>
      </c>
      <c r="F96" s="24">
        <v>8</v>
      </c>
      <c r="G96" s="18">
        <f t="shared" si="11"/>
        <v>24</v>
      </c>
    </row>
    <row r="97" spans="1:7" x14ac:dyDescent="0.2">
      <c r="A97" s="5"/>
      <c r="B97" s="6"/>
      <c r="C97" s="5"/>
      <c r="D97" s="6"/>
      <c r="E97" s="6"/>
      <c r="F97" s="18">
        <f>SUM(F81:F96)</f>
        <v>129</v>
      </c>
      <c r="G97" s="18">
        <f>SUM(G81:G96)</f>
        <v>674</v>
      </c>
    </row>
    <row r="98" spans="1:7" x14ac:dyDescent="0.2">
      <c r="A98" s="1"/>
      <c r="C98" s="1"/>
      <c r="F98" s="2"/>
    </row>
    <row r="99" spans="1:7" x14ac:dyDescent="0.2">
      <c r="A99" s="1"/>
      <c r="B99" t="s">
        <v>80</v>
      </c>
      <c r="C99" s="1"/>
      <c r="F99" s="2"/>
    </row>
    <row r="100" spans="1:7" x14ac:dyDescent="0.2">
      <c r="A100" s="3" t="s">
        <v>2</v>
      </c>
      <c r="B100" s="3" t="s">
        <v>3</v>
      </c>
      <c r="C100" s="3" t="s">
        <v>4</v>
      </c>
      <c r="D100" s="3" t="s">
        <v>5</v>
      </c>
      <c r="E100" s="3" t="s">
        <v>6</v>
      </c>
      <c r="F100" s="17" t="s">
        <v>117</v>
      </c>
      <c r="G100" s="3" t="s">
        <v>119</v>
      </c>
    </row>
    <row r="101" spans="1:7" x14ac:dyDescent="0.2">
      <c r="A101" s="5">
        <v>1</v>
      </c>
      <c r="B101" s="6" t="s">
        <v>81</v>
      </c>
      <c r="C101" s="7">
        <v>4</v>
      </c>
      <c r="D101" s="6">
        <v>107950</v>
      </c>
      <c r="E101" s="6">
        <f>(C101*D101)</f>
        <v>431800</v>
      </c>
      <c r="F101" s="24">
        <v>13</v>
      </c>
      <c r="G101" s="18">
        <f>C101*F101</f>
        <v>52</v>
      </c>
    </row>
    <row r="102" spans="1:7" x14ac:dyDescent="0.2">
      <c r="A102" s="5">
        <v>2</v>
      </c>
      <c r="B102" s="6" t="s">
        <v>82</v>
      </c>
      <c r="C102" s="7">
        <v>5</v>
      </c>
      <c r="D102" s="6">
        <v>142800</v>
      </c>
      <c r="E102" s="6">
        <f t="shared" ref="E102:E111" si="12">(C102*D102)</f>
        <v>714000</v>
      </c>
      <c r="F102" s="24">
        <v>15</v>
      </c>
      <c r="G102" s="18">
        <f t="shared" ref="G102:G111" si="13">C102*F102</f>
        <v>75</v>
      </c>
    </row>
    <row r="103" spans="1:7" x14ac:dyDescent="0.2">
      <c r="A103" s="5">
        <v>3</v>
      </c>
      <c r="B103" s="6" t="s">
        <v>83</v>
      </c>
      <c r="C103" s="7">
        <v>5</v>
      </c>
      <c r="D103" s="6">
        <v>114750</v>
      </c>
      <c r="E103" s="6">
        <f t="shared" si="12"/>
        <v>573750</v>
      </c>
      <c r="F103" s="24">
        <v>13</v>
      </c>
      <c r="G103" s="18">
        <f t="shared" si="13"/>
        <v>65</v>
      </c>
    </row>
    <row r="104" spans="1:7" x14ac:dyDescent="0.2">
      <c r="A104" s="5">
        <v>4</v>
      </c>
      <c r="B104" s="6" t="s">
        <v>84</v>
      </c>
      <c r="C104" s="7">
        <v>5</v>
      </c>
      <c r="D104" s="6">
        <v>114750</v>
      </c>
      <c r="E104" s="6">
        <f t="shared" si="12"/>
        <v>573750</v>
      </c>
      <c r="F104" s="24">
        <v>13</v>
      </c>
      <c r="G104" s="18">
        <f t="shared" si="13"/>
        <v>65</v>
      </c>
    </row>
    <row r="105" spans="1:7" x14ac:dyDescent="0.2">
      <c r="A105" s="5">
        <v>5</v>
      </c>
      <c r="B105" s="6" t="s">
        <v>85</v>
      </c>
      <c r="C105" s="7">
        <v>5</v>
      </c>
      <c r="D105" s="6">
        <v>114750</v>
      </c>
      <c r="E105" s="6">
        <f t="shared" si="12"/>
        <v>573750</v>
      </c>
      <c r="F105" s="24">
        <v>13</v>
      </c>
      <c r="G105" s="18">
        <f t="shared" si="13"/>
        <v>65</v>
      </c>
    </row>
    <row r="106" spans="1:7" x14ac:dyDescent="0.2">
      <c r="A106" s="5">
        <v>6</v>
      </c>
      <c r="B106" s="6" t="s">
        <v>86</v>
      </c>
      <c r="C106" s="7">
        <v>25</v>
      </c>
      <c r="D106" s="6">
        <v>12000</v>
      </c>
      <c r="E106" s="6">
        <f t="shared" si="12"/>
        <v>300000</v>
      </c>
      <c r="F106" s="24">
        <v>4</v>
      </c>
      <c r="G106" s="18">
        <f t="shared" si="13"/>
        <v>100</v>
      </c>
    </row>
    <row r="107" spans="1:7" x14ac:dyDescent="0.2">
      <c r="A107" s="5">
        <v>7</v>
      </c>
      <c r="B107" s="6" t="s">
        <v>87</v>
      </c>
      <c r="C107" s="7">
        <v>30</v>
      </c>
      <c r="D107" s="6">
        <v>39100</v>
      </c>
      <c r="E107" s="6">
        <f t="shared" si="12"/>
        <v>1173000</v>
      </c>
      <c r="F107" s="24">
        <v>4.4000000000000004</v>
      </c>
      <c r="G107" s="18">
        <f t="shared" si="13"/>
        <v>132</v>
      </c>
    </row>
    <row r="108" spans="1:7" x14ac:dyDescent="0.2">
      <c r="A108" s="5">
        <v>8</v>
      </c>
      <c r="B108" s="6" t="s">
        <v>88</v>
      </c>
      <c r="C108" s="7">
        <v>25</v>
      </c>
      <c r="D108" s="6">
        <v>19800</v>
      </c>
      <c r="E108" s="6">
        <f t="shared" si="12"/>
        <v>495000</v>
      </c>
      <c r="F108" s="24">
        <v>2.5</v>
      </c>
      <c r="G108" s="18">
        <f t="shared" si="13"/>
        <v>62.5</v>
      </c>
    </row>
    <row r="109" spans="1:7" x14ac:dyDescent="0.2">
      <c r="A109" s="5">
        <v>9</v>
      </c>
      <c r="B109" s="6" t="s">
        <v>89</v>
      </c>
      <c r="C109" s="7">
        <v>3</v>
      </c>
      <c r="D109" s="6">
        <v>157250</v>
      </c>
      <c r="E109" s="6">
        <f t="shared" si="12"/>
        <v>471750</v>
      </c>
      <c r="F109" s="24">
        <v>18</v>
      </c>
      <c r="G109" s="18">
        <f t="shared" si="13"/>
        <v>54</v>
      </c>
    </row>
    <row r="110" spans="1:7" x14ac:dyDescent="0.2">
      <c r="A110" s="5">
        <v>10</v>
      </c>
      <c r="B110" s="6" t="s">
        <v>90</v>
      </c>
      <c r="C110" s="7">
        <v>5</v>
      </c>
      <c r="D110" s="6">
        <v>114750</v>
      </c>
      <c r="E110" s="6">
        <f t="shared" si="12"/>
        <v>573750</v>
      </c>
      <c r="F110" s="24">
        <v>13</v>
      </c>
      <c r="G110" s="18">
        <f t="shared" si="13"/>
        <v>65</v>
      </c>
    </row>
    <row r="111" spans="1:7" x14ac:dyDescent="0.2">
      <c r="A111" s="5">
        <v>11</v>
      </c>
      <c r="B111" s="6" t="s">
        <v>91</v>
      </c>
      <c r="C111" s="7">
        <v>10</v>
      </c>
      <c r="D111" s="6">
        <v>25000</v>
      </c>
      <c r="E111" s="6">
        <f t="shared" si="12"/>
        <v>250000</v>
      </c>
      <c r="F111" s="24">
        <v>8</v>
      </c>
      <c r="G111" s="18">
        <f t="shared" si="13"/>
        <v>80</v>
      </c>
    </row>
    <row r="112" spans="1:7" x14ac:dyDescent="0.2">
      <c r="A112" s="5"/>
      <c r="B112" s="6"/>
      <c r="C112" s="5"/>
      <c r="D112" s="6"/>
      <c r="E112" s="6"/>
      <c r="F112" s="18">
        <f>SUM(F101:F111)</f>
        <v>116.9</v>
      </c>
      <c r="G112" s="18">
        <f>SUM(G101:G111)</f>
        <v>815.5</v>
      </c>
    </row>
    <row r="113" spans="1:9" x14ac:dyDescent="0.2">
      <c r="A113" s="1"/>
      <c r="B113" t="s">
        <v>92</v>
      </c>
      <c r="C113" s="1"/>
      <c r="F113" s="2"/>
    </row>
    <row r="114" spans="1:9" x14ac:dyDescent="0.2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17" t="s">
        <v>117</v>
      </c>
      <c r="G114" s="3" t="s">
        <v>119</v>
      </c>
    </row>
    <row r="115" spans="1:9" x14ac:dyDescent="0.2">
      <c r="A115" s="5">
        <v>1</v>
      </c>
      <c r="B115" s="6" t="s">
        <v>93</v>
      </c>
      <c r="C115" s="7">
        <v>1</v>
      </c>
      <c r="D115" s="6">
        <v>109000</v>
      </c>
      <c r="E115" s="6">
        <f>(C115*D115)</f>
        <v>109000</v>
      </c>
      <c r="F115" s="24">
        <v>13</v>
      </c>
      <c r="G115" s="18">
        <f>C115*F115</f>
        <v>13</v>
      </c>
    </row>
    <row r="116" spans="1:9" x14ac:dyDescent="0.2">
      <c r="A116" s="5">
        <v>2</v>
      </c>
      <c r="B116" s="6" t="s">
        <v>94</v>
      </c>
      <c r="C116" s="7">
        <v>10</v>
      </c>
      <c r="D116" s="6">
        <v>52700</v>
      </c>
      <c r="E116" s="6">
        <f t="shared" ref="E116:E128" si="14">(C116*D116)</f>
        <v>527000</v>
      </c>
      <c r="F116" s="24">
        <v>7</v>
      </c>
      <c r="G116" s="18">
        <f t="shared" ref="G116:G127" si="15">C116*F116</f>
        <v>70</v>
      </c>
    </row>
    <row r="117" spans="1:9" x14ac:dyDescent="0.2">
      <c r="A117" s="5">
        <v>3</v>
      </c>
      <c r="B117" s="6" t="s">
        <v>95</v>
      </c>
      <c r="C117" s="7">
        <v>4</v>
      </c>
      <c r="D117" s="6">
        <v>55500</v>
      </c>
      <c r="E117" s="6">
        <f t="shared" si="14"/>
        <v>222000</v>
      </c>
      <c r="F117" s="24">
        <v>10</v>
      </c>
      <c r="G117" s="18">
        <f t="shared" si="15"/>
        <v>40</v>
      </c>
    </row>
    <row r="118" spans="1:9" x14ac:dyDescent="0.2">
      <c r="A118" s="5">
        <v>4</v>
      </c>
      <c r="B118" s="6" t="s">
        <v>96</v>
      </c>
      <c r="C118" s="7">
        <v>1</v>
      </c>
      <c r="D118" s="6">
        <v>64000</v>
      </c>
      <c r="E118" s="6">
        <f t="shared" si="14"/>
        <v>64000</v>
      </c>
      <c r="F118" s="24">
        <v>10</v>
      </c>
      <c r="G118" s="18">
        <f t="shared" si="15"/>
        <v>10</v>
      </c>
    </row>
    <row r="119" spans="1:9" x14ac:dyDescent="0.2">
      <c r="A119" s="5">
        <v>5</v>
      </c>
      <c r="B119" s="6" t="s">
        <v>97</v>
      </c>
      <c r="C119" s="7">
        <v>1</v>
      </c>
      <c r="D119" s="6">
        <v>270000</v>
      </c>
      <c r="E119" s="6">
        <f t="shared" si="14"/>
        <v>270000</v>
      </c>
      <c r="F119" s="24">
        <v>30</v>
      </c>
      <c r="G119" s="18">
        <f t="shared" si="15"/>
        <v>30</v>
      </c>
    </row>
    <row r="120" spans="1:9" x14ac:dyDescent="0.2">
      <c r="A120" s="5">
        <v>6</v>
      </c>
      <c r="B120" s="6" t="s">
        <v>98</v>
      </c>
      <c r="C120" s="7">
        <v>4</v>
      </c>
      <c r="D120" s="6">
        <v>115000</v>
      </c>
      <c r="E120" s="6">
        <f t="shared" si="14"/>
        <v>460000</v>
      </c>
      <c r="F120" s="24">
        <v>15</v>
      </c>
      <c r="G120" s="18">
        <f t="shared" si="15"/>
        <v>60</v>
      </c>
    </row>
    <row r="121" spans="1:9" x14ac:dyDescent="0.2">
      <c r="A121" s="5">
        <v>7</v>
      </c>
      <c r="B121" s="6" t="s">
        <v>99</v>
      </c>
      <c r="C121" s="7">
        <v>5</v>
      </c>
      <c r="D121" s="6">
        <v>115000</v>
      </c>
      <c r="E121" s="6">
        <f t="shared" si="14"/>
        <v>575000</v>
      </c>
      <c r="F121" s="24">
        <v>15</v>
      </c>
      <c r="G121" s="18">
        <f t="shared" si="15"/>
        <v>75</v>
      </c>
    </row>
    <row r="122" spans="1:9" x14ac:dyDescent="0.2">
      <c r="A122" s="5">
        <v>8</v>
      </c>
      <c r="B122" s="6" t="s">
        <v>100</v>
      </c>
      <c r="C122" s="7">
        <v>4</v>
      </c>
      <c r="D122" s="6">
        <v>115000</v>
      </c>
      <c r="E122" s="6">
        <f t="shared" si="14"/>
        <v>460000</v>
      </c>
      <c r="F122" s="24">
        <v>15</v>
      </c>
      <c r="G122" s="18">
        <f t="shared" si="15"/>
        <v>60</v>
      </c>
    </row>
    <row r="123" spans="1:9" x14ac:dyDescent="0.2">
      <c r="A123" s="5">
        <v>9</v>
      </c>
      <c r="B123" s="6" t="s">
        <v>101</v>
      </c>
      <c r="C123" s="7">
        <v>4</v>
      </c>
      <c r="D123" s="6">
        <v>115000</v>
      </c>
      <c r="E123" s="6">
        <f t="shared" si="14"/>
        <v>460000</v>
      </c>
      <c r="F123" s="24">
        <v>15</v>
      </c>
      <c r="G123" s="18">
        <f t="shared" si="15"/>
        <v>60</v>
      </c>
    </row>
    <row r="124" spans="1:9" x14ac:dyDescent="0.2">
      <c r="A124" s="5">
        <v>10</v>
      </c>
      <c r="B124" s="6" t="s">
        <v>102</v>
      </c>
      <c r="C124" s="7">
        <v>10</v>
      </c>
      <c r="D124" s="6">
        <v>12000</v>
      </c>
      <c r="E124" s="6">
        <f t="shared" si="14"/>
        <v>120000</v>
      </c>
      <c r="F124" s="24">
        <v>6</v>
      </c>
      <c r="G124" s="18">
        <f t="shared" si="15"/>
        <v>60</v>
      </c>
    </row>
    <row r="125" spans="1:9" x14ac:dyDescent="0.2">
      <c r="A125" s="5">
        <v>11</v>
      </c>
      <c r="B125" s="6" t="s">
        <v>103</v>
      </c>
      <c r="C125" s="7">
        <v>10</v>
      </c>
      <c r="D125" s="6">
        <v>12000</v>
      </c>
      <c r="E125" s="6">
        <f t="shared" si="14"/>
        <v>120000</v>
      </c>
      <c r="F125" s="24">
        <v>6</v>
      </c>
      <c r="G125" s="18">
        <f t="shared" si="15"/>
        <v>60</v>
      </c>
    </row>
    <row r="126" spans="1:9" x14ac:dyDescent="0.2">
      <c r="A126" s="5">
        <v>12</v>
      </c>
      <c r="B126" s="6" t="s">
        <v>104</v>
      </c>
      <c r="C126" s="7">
        <v>10</v>
      </c>
      <c r="D126" s="6">
        <v>12000</v>
      </c>
      <c r="E126" s="6">
        <f t="shared" si="14"/>
        <v>120000</v>
      </c>
      <c r="F126" s="24">
        <v>6</v>
      </c>
      <c r="G126" s="18">
        <f t="shared" si="15"/>
        <v>60</v>
      </c>
    </row>
    <row r="127" spans="1:9" x14ac:dyDescent="0.2">
      <c r="A127" s="5">
        <v>13</v>
      </c>
      <c r="B127" s="6" t="s">
        <v>105</v>
      </c>
      <c r="C127" s="7">
        <v>10</v>
      </c>
      <c r="D127" s="6">
        <v>12000</v>
      </c>
      <c r="E127" s="6">
        <f t="shared" si="14"/>
        <v>120000</v>
      </c>
      <c r="F127" s="24">
        <v>6</v>
      </c>
      <c r="G127" s="18">
        <f t="shared" si="15"/>
        <v>60</v>
      </c>
    </row>
    <row r="128" spans="1:9" x14ac:dyDescent="0.2">
      <c r="A128" s="5">
        <v>14</v>
      </c>
      <c r="B128" s="6" t="s">
        <v>106</v>
      </c>
      <c r="C128" s="9">
        <v>10</v>
      </c>
      <c r="D128" s="6">
        <v>25000</v>
      </c>
      <c r="E128" s="6">
        <f t="shared" si="14"/>
        <v>250000</v>
      </c>
      <c r="F128" s="24">
        <v>8</v>
      </c>
      <c r="G128" s="18">
        <f>F128*I128</f>
        <v>72</v>
      </c>
      <c r="H128">
        <v>1</v>
      </c>
      <c r="I128">
        <f>C128-H128</f>
        <v>9</v>
      </c>
    </row>
    <row r="129" spans="1:7" x14ac:dyDescent="0.2">
      <c r="A129" s="5"/>
      <c r="B129" s="6"/>
      <c r="C129" s="5"/>
      <c r="D129" s="6"/>
      <c r="E129" s="6"/>
      <c r="F129" s="18">
        <f>SUM(F115:F128)</f>
        <v>162</v>
      </c>
      <c r="G129" s="18">
        <f>SUM(G115:G128)</f>
        <v>730</v>
      </c>
    </row>
    <row r="130" spans="1:7" x14ac:dyDescent="0.2">
      <c r="A130" s="1"/>
      <c r="B130" t="s">
        <v>107</v>
      </c>
      <c r="C130" s="1"/>
      <c r="F130" s="2"/>
    </row>
    <row r="131" spans="1:7" x14ac:dyDescent="0.2">
      <c r="A131" s="3" t="s">
        <v>2</v>
      </c>
      <c r="B131" s="3" t="s">
        <v>3</v>
      </c>
      <c r="C131" s="3" t="s">
        <v>4</v>
      </c>
      <c r="D131" s="3" t="s">
        <v>5</v>
      </c>
      <c r="E131" s="3" t="s">
        <v>6</v>
      </c>
      <c r="F131" s="17" t="s">
        <v>117</v>
      </c>
      <c r="G131" s="3" t="s">
        <v>119</v>
      </c>
    </row>
    <row r="132" spans="1:7" x14ac:dyDescent="0.2">
      <c r="A132" s="5">
        <v>1</v>
      </c>
      <c r="B132" s="6" t="s">
        <v>108</v>
      </c>
      <c r="C132" s="7">
        <v>10</v>
      </c>
      <c r="D132" s="6">
        <v>3250</v>
      </c>
      <c r="E132" s="6">
        <f>(C132*D132)</f>
        <v>32500</v>
      </c>
      <c r="F132" s="24">
        <v>2</v>
      </c>
      <c r="G132" s="18">
        <f>C132*F132</f>
        <v>20</v>
      </c>
    </row>
    <row r="133" spans="1:7" x14ac:dyDescent="0.2">
      <c r="A133" s="5">
        <v>2</v>
      </c>
      <c r="B133" s="6" t="s">
        <v>109</v>
      </c>
      <c r="C133" s="7">
        <v>10</v>
      </c>
      <c r="D133" s="6">
        <v>3250</v>
      </c>
      <c r="E133" s="6">
        <f t="shared" ref="E133:E141" si="16">(C133*D133)</f>
        <v>32500</v>
      </c>
      <c r="F133" s="24">
        <v>2</v>
      </c>
      <c r="G133" s="18">
        <f t="shared" ref="G133:G141" si="17">C133*F133</f>
        <v>20</v>
      </c>
    </row>
    <row r="134" spans="1:7" x14ac:dyDescent="0.2">
      <c r="A134" s="5">
        <v>3</v>
      </c>
      <c r="B134" s="6" t="s">
        <v>110</v>
      </c>
      <c r="C134" s="7">
        <v>10</v>
      </c>
      <c r="D134" s="6">
        <v>18000</v>
      </c>
      <c r="E134" s="6">
        <f t="shared" si="16"/>
        <v>180000</v>
      </c>
      <c r="F134" s="24">
        <v>5</v>
      </c>
      <c r="G134" s="18">
        <f t="shared" si="17"/>
        <v>50</v>
      </c>
    </row>
    <row r="135" spans="1:7" x14ac:dyDescent="0.2">
      <c r="A135" s="5">
        <v>4</v>
      </c>
      <c r="B135" s="6" t="s">
        <v>111</v>
      </c>
      <c r="C135" s="7">
        <v>4</v>
      </c>
      <c r="D135" s="6">
        <v>20000</v>
      </c>
      <c r="E135" s="6">
        <f t="shared" si="16"/>
        <v>80000</v>
      </c>
      <c r="F135" s="24">
        <v>4</v>
      </c>
      <c r="G135" s="18">
        <f t="shared" si="17"/>
        <v>16</v>
      </c>
    </row>
    <row r="136" spans="1:7" x14ac:dyDescent="0.2">
      <c r="A136" s="5">
        <v>5</v>
      </c>
      <c r="B136" s="6" t="s">
        <v>112</v>
      </c>
      <c r="C136" s="7">
        <v>10</v>
      </c>
      <c r="D136" s="6">
        <v>13500</v>
      </c>
      <c r="E136" s="6">
        <f t="shared" si="16"/>
        <v>135000</v>
      </c>
      <c r="F136" s="24">
        <v>2.5</v>
      </c>
      <c r="G136" s="18">
        <f t="shared" si="17"/>
        <v>25</v>
      </c>
    </row>
    <row r="137" spans="1:7" x14ac:dyDescent="0.2">
      <c r="A137" s="5">
        <v>6</v>
      </c>
      <c r="B137" s="6" t="s">
        <v>113</v>
      </c>
      <c r="C137" s="7">
        <v>2</v>
      </c>
      <c r="D137" s="6">
        <v>69500</v>
      </c>
      <c r="E137" s="6">
        <f t="shared" si="16"/>
        <v>139000</v>
      </c>
      <c r="F137" s="24">
        <v>13</v>
      </c>
      <c r="G137" s="18">
        <f t="shared" si="17"/>
        <v>26</v>
      </c>
    </row>
    <row r="138" spans="1:7" x14ac:dyDescent="0.2">
      <c r="A138" s="5">
        <v>7</v>
      </c>
      <c r="B138" s="6" t="s">
        <v>114</v>
      </c>
      <c r="C138" s="7">
        <v>10</v>
      </c>
      <c r="D138" s="6">
        <v>12000</v>
      </c>
      <c r="E138" s="6">
        <f t="shared" si="16"/>
        <v>120000</v>
      </c>
      <c r="F138" s="24">
        <v>6</v>
      </c>
      <c r="G138" s="18">
        <f t="shared" si="17"/>
        <v>60</v>
      </c>
    </row>
    <row r="139" spans="1:7" x14ac:dyDescent="0.2">
      <c r="A139" s="5">
        <v>8</v>
      </c>
      <c r="B139" s="6" t="s">
        <v>115</v>
      </c>
      <c r="C139" s="7">
        <v>10</v>
      </c>
      <c r="D139" s="6">
        <v>12000</v>
      </c>
      <c r="E139" s="6">
        <f t="shared" si="16"/>
        <v>120000</v>
      </c>
      <c r="F139" s="24">
        <v>6</v>
      </c>
      <c r="G139" s="18">
        <f t="shared" si="17"/>
        <v>60</v>
      </c>
    </row>
    <row r="140" spans="1:7" x14ac:dyDescent="0.2">
      <c r="A140" s="5">
        <v>9</v>
      </c>
      <c r="B140" s="6" t="s">
        <v>47</v>
      </c>
      <c r="C140" s="7">
        <v>2</v>
      </c>
      <c r="D140" s="6">
        <v>12000</v>
      </c>
      <c r="E140" s="6">
        <f t="shared" si="16"/>
        <v>24000</v>
      </c>
      <c r="F140" s="24">
        <v>3</v>
      </c>
      <c r="G140" s="18">
        <f t="shared" si="17"/>
        <v>6</v>
      </c>
    </row>
    <row r="141" spans="1:7" x14ac:dyDescent="0.2">
      <c r="A141" s="5">
        <v>10</v>
      </c>
      <c r="B141" s="6" t="s">
        <v>116</v>
      </c>
      <c r="C141" s="7">
        <v>1</v>
      </c>
      <c r="D141" s="6">
        <v>25000</v>
      </c>
      <c r="E141" s="6">
        <f t="shared" si="16"/>
        <v>25000</v>
      </c>
      <c r="F141" s="24">
        <v>0</v>
      </c>
      <c r="G141" s="18">
        <f t="shared" si="17"/>
        <v>0</v>
      </c>
    </row>
    <row r="142" spans="1:7" x14ac:dyDescent="0.2">
      <c r="A142" s="5"/>
      <c r="B142" s="6"/>
      <c r="C142" s="5"/>
      <c r="D142" s="6"/>
      <c r="E142" s="6"/>
      <c r="F142" s="19">
        <f>SUM(F132:F141)</f>
        <v>43.5</v>
      </c>
      <c r="G142" s="19">
        <f>SUM(G132:G141)</f>
        <v>283</v>
      </c>
    </row>
    <row r="143" spans="1:7" x14ac:dyDescent="0.2">
      <c r="A143" s="1"/>
      <c r="C143" s="1"/>
      <c r="F143" s="12"/>
    </row>
    <row r="144" spans="1:7" x14ac:dyDescent="0.2">
      <c r="F144" s="10"/>
      <c r="G144" s="12">
        <f>G142+G129+G112+G97+G72+G66+G53+G41+G25+G14</f>
        <v>4508.5</v>
      </c>
    </row>
    <row r="146" spans="1:10" x14ac:dyDescent="0.2">
      <c r="A146" s="3" t="s">
        <v>2</v>
      </c>
      <c r="B146" s="3" t="s">
        <v>3</v>
      </c>
      <c r="C146" s="3" t="s">
        <v>4</v>
      </c>
      <c r="D146" s="3" t="s">
        <v>5</v>
      </c>
      <c r="E146" s="3" t="s">
        <v>6</v>
      </c>
      <c r="F146" s="3" t="s">
        <v>150</v>
      </c>
      <c r="G146" s="3" t="s">
        <v>119</v>
      </c>
    </row>
    <row r="147" spans="1:10" x14ac:dyDescent="0.2">
      <c r="A147" s="6">
        <v>1</v>
      </c>
      <c r="B147" s="6" t="s">
        <v>120</v>
      </c>
      <c r="C147" s="6">
        <v>30</v>
      </c>
      <c r="D147" s="6">
        <v>43000</v>
      </c>
      <c r="E147" s="21">
        <f>C147*D147</f>
        <v>1290000</v>
      </c>
      <c r="F147" s="24">
        <v>7</v>
      </c>
      <c r="G147" s="18">
        <f>C147*F147</f>
        <v>210</v>
      </c>
      <c r="J147" s="10"/>
    </row>
    <row r="148" spans="1:10" x14ac:dyDescent="0.2">
      <c r="A148" s="6">
        <v>2</v>
      </c>
      <c r="B148" s="6" t="s">
        <v>121</v>
      </c>
      <c r="C148" s="6">
        <v>6</v>
      </c>
      <c r="D148" s="6">
        <v>41242</v>
      </c>
      <c r="E148" s="21">
        <f t="shared" ref="E148:E176" si="18">C148*D148</f>
        <v>247452</v>
      </c>
      <c r="F148" s="24">
        <v>8</v>
      </c>
      <c r="G148" s="18">
        <f t="shared" ref="G148:G176" si="19">C148*F148</f>
        <v>48</v>
      </c>
    </row>
    <row r="149" spans="1:10" x14ac:dyDescent="0.2">
      <c r="A149" s="6">
        <v>3</v>
      </c>
      <c r="B149" s="6" t="s">
        <v>122</v>
      </c>
      <c r="C149" s="6">
        <v>4</v>
      </c>
      <c r="D149" s="6">
        <v>58897</v>
      </c>
      <c r="E149" s="21">
        <f t="shared" si="18"/>
        <v>235588</v>
      </c>
      <c r="F149" s="24">
        <v>8</v>
      </c>
      <c r="G149" s="18">
        <f t="shared" si="19"/>
        <v>32</v>
      </c>
    </row>
    <row r="150" spans="1:10" x14ac:dyDescent="0.2">
      <c r="A150" s="6">
        <v>4</v>
      </c>
      <c r="B150" s="6" t="s">
        <v>123</v>
      </c>
      <c r="C150" s="6">
        <v>2</v>
      </c>
      <c r="D150" s="6">
        <v>41633</v>
      </c>
      <c r="E150" s="21">
        <f t="shared" si="18"/>
        <v>83266</v>
      </c>
      <c r="F150" s="24">
        <v>6</v>
      </c>
      <c r="G150" s="18">
        <f t="shared" si="19"/>
        <v>12</v>
      </c>
    </row>
    <row r="151" spans="1:10" x14ac:dyDescent="0.2">
      <c r="A151" s="6">
        <v>5</v>
      </c>
      <c r="B151" s="6" t="s">
        <v>124</v>
      </c>
      <c r="C151" s="6">
        <v>3</v>
      </c>
      <c r="D151" s="6">
        <v>38800</v>
      </c>
      <c r="E151" s="21">
        <f t="shared" si="18"/>
        <v>116400</v>
      </c>
      <c r="F151" s="24">
        <v>6</v>
      </c>
      <c r="G151" s="18">
        <f t="shared" si="19"/>
        <v>18</v>
      </c>
    </row>
    <row r="152" spans="1:10" x14ac:dyDescent="0.2">
      <c r="A152" s="6">
        <v>6</v>
      </c>
      <c r="B152" s="6" t="s">
        <v>125</v>
      </c>
      <c r="C152" s="6">
        <v>5</v>
      </c>
      <c r="D152" s="6">
        <v>8468</v>
      </c>
      <c r="E152" s="21">
        <f t="shared" si="18"/>
        <v>42340</v>
      </c>
      <c r="F152" s="24">
        <v>2</v>
      </c>
      <c r="G152" s="18">
        <f t="shared" si="19"/>
        <v>10</v>
      </c>
    </row>
    <row r="153" spans="1:10" x14ac:dyDescent="0.2">
      <c r="A153" s="16">
        <v>7</v>
      </c>
      <c r="B153" s="16" t="s">
        <v>126</v>
      </c>
      <c r="C153" s="16">
        <v>1</v>
      </c>
      <c r="D153" s="16">
        <v>24249</v>
      </c>
      <c r="E153" s="22">
        <f t="shared" si="18"/>
        <v>24249</v>
      </c>
      <c r="F153" s="20">
        <v>0</v>
      </c>
      <c r="G153" s="20">
        <f t="shared" si="19"/>
        <v>0</v>
      </c>
    </row>
    <row r="154" spans="1:10" x14ac:dyDescent="0.2">
      <c r="A154" s="6">
        <v>8</v>
      </c>
      <c r="B154" s="6" t="s">
        <v>127</v>
      </c>
      <c r="C154" s="6">
        <v>5</v>
      </c>
      <c r="D154" s="6">
        <v>2911</v>
      </c>
      <c r="E154" s="21">
        <f t="shared" si="18"/>
        <v>14555</v>
      </c>
      <c r="F154" s="24">
        <v>2</v>
      </c>
      <c r="G154" s="18">
        <f t="shared" si="19"/>
        <v>10</v>
      </c>
    </row>
    <row r="155" spans="1:10" x14ac:dyDescent="0.2">
      <c r="A155" s="6">
        <v>9</v>
      </c>
      <c r="B155" s="6" t="s">
        <v>128</v>
      </c>
      <c r="C155" s="6">
        <v>8</v>
      </c>
      <c r="D155" s="6">
        <v>38702</v>
      </c>
      <c r="E155" s="21">
        <f t="shared" si="18"/>
        <v>309616</v>
      </c>
      <c r="F155" s="24">
        <v>5</v>
      </c>
      <c r="G155" s="18">
        <f t="shared" si="19"/>
        <v>40</v>
      </c>
    </row>
    <row r="156" spans="1:10" x14ac:dyDescent="0.2">
      <c r="A156" s="6">
        <v>10</v>
      </c>
      <c r="B156" s="6" t="s">
        <v>129</v>
      </c>
      <c r="C156" s="6">
        <v>10</v>
      </c>
      <c r="D156" s="6">
        <v>23765</v>
      </c>
      <c r="E156" s="21">
        <f t="shared" si="18"/>
        <v>237650</v>
      </c>
      <c r="F156" s="24">
        <v>4</v>
      </c>
      <c r="G156" s="18">
        <f t="shared" si="19"/>
        <v>40</v>
      </c>
    </row>
    <row r="157" spans="1:10" x14ac:dyDescent="0.2">
      <c r="A157" s="6">
        <v>11</v>
      </c>
      <c r="B157" s="6" t="s">
        <v>130</v>
      </c>
      <c r="C157" s="6">
        <v>8</v>
      </c>
      <c r="D157" s="6">
        <v>53250</v>
      </c>
      <c r="E157" s="21">
        <f t="shared" si="18"/>
        <v>426000</v>
      </c>
      <c r="F157" s="24">
        <v>7</v>
      </c>
      <c r="G157" s="18">
        <f t="shared" si="19"/>
        <v>56</v>
      </c>
    </row>
    <row r="158" spans="1:10" x14ac:dyDescent="0.2">
      <c r="A158" s="6">
        <v>12</v>
      </c>
      <c r="B158" s="6" t="s">
        <v>131</v>
      </c>
      <c r="C158" s="6">
        <v>3</v>
      </c>
      <c r="D158" s="6">
        <v>81479</v>
      </c>
      <c r="E158" s="21">
        <f t="shared" si="18"/>
        <v>244437</v>
      </c>
      <c r="F158" s="24">
        <v>12</v>
      </c>
      <c r="G158" s="18">
        <f t="shared" si="19"/>
        <v>36</v>
      </c>
    </row>
    <row r="159" spans="1:10" x14ac:dyDescent="0.2">
      <c r="A159" s="6">
        <v>13</v>
      </c>
      <c r="B159" s="6" t="s">
        <v>132</v>
      </c>
      <c r="C159" s="6">
        <v>4</v>
      </c>
      <c r="D159" s="6">
        <v>24250</v>
      </c>
      <c r="E159" s="21">
        <f t="shared" si="18"/>
        <v>97000</v>
      </c>
      <c r="F159" s="24">
        <v>5</v>
      </c>
      <c r="G159" s="18">
        <f t="shared" si="19"/>
        <v>20</v>
      </c>
    </row>
    <row r="160" spans="1:10" x14ac:dyDescent="0.2">
      <c r="A160" s="6">
        <v>14</v>
      </c>
      <c r="B160" s="6" t="s">
        <v>133</v>
      </c>
      <c r="C160" s="6">
        <v>10</v>
      </c>
      <c r="D160" s="6">
        <v>19400</v>
      </c>
      <c r="E160" s="21">
        <f t="shared" si="18"/>
        <v>194000</v>
      </c>
      <c r="F160" s="24">
        <v>5</v>
      </c>
      <c r="G160" s="18">
        <f t="shared" si="19"/>
        <v>50</v>
      </c>
    </row>
    <row r="161" spans="1:7" x14ac:dyDescent="0.2">
      <c r="A161" s="6">
        <v>15</v>
      </c>
      <c r="B161" s="6" t="s">
        <v>134</v>
      </c>
      <c r="C161" s="6">
        <v>1</v>
      </c>
      <c r="D161" s="6">
        <v>169749</v>
      </c>
      <c r="E161" s="21">
        <f t="shared" si="18"/>
        <v>169749</v>
      </c>
      <c r="F161" s="24">
        <v>18</v>
      </c>
      <c r="G161" s="18">
        <f t="shared" si="19"/>
        <v>18</v>
      </c>
    </row>
    <row r="162" spans="1:7" x14ac:dyDescent="0.2">
      <c r="A162" s="6">
        <v>16</v>
      </c>
      <c r="B162" s="6" t="s">
        <v>135</v>
      </c>
      <c r="C162" s="6">
        <v>6</v>
      </c>
      <c r="D162" s="6">
        <v>145499</v>
      </c>
      <c r="E162" s="21">
        <f t="shared" si="18"/>
        <v>872994</v>
      </c>
      <c r="F162" s="24">
        <v>17</v>
      </c>
      <c r="G162" s="18">
        <f t="shared" si="19"/>
        <v>102</v>
      </c>
    </row>
    <row r="163" spans="1:7" x14ac:dyDescent="0.2">
      <c r="A163" s="6">
        <v>17</v>
      </c>
      <c r="B163" s="6" t="s">
        <v>136</v>
      </c>
      <c r="C163" s="6">
        <v>1</v>
      </c>
      <c r="D163" s="6">
        <v>9917</v>
      </c>
      <c r="E163" s="21">
        <f t="shared" si="18"/>
        <v>9917</v>
      </c>
      <c r="F163" s="24">
        <v>0.5</v>
      </c>
      <c r="G163" s="18">
        <f t="shared" si="19"/>
        <v>0.5</v>
      </c>
    </row>
    <row r="164" spans="1:7" x14ac:dyDescent="0.2">
      <c r="A164" s="6">
        <v>18</v>
      </c>
      <c r="B164" s="6" t="s">
        <v>137</v>
      </c>
      <c r="C164" s="6">
        <v>11</v>
      </c>
      <c r="D164" s="6">
        <v>16967</v>
      </c>
      <c r="E164" s="21">
        <f t="shared" si="18"/>
        <v>186637</v>
      </c>
      <c r="F164" s="24">
        <v>4</v>
      </c>
      <c r="G164" s="18">
        <f t="shared" si="19"/>
        <v>44</v>
      </c>
    </row>
    <row r="165" spans="1:7" x14ac:dyDescent="0.2">
      <c r="A165" s="6">
        <v>19</v>
      </c>
      <c r="B165" s="6" t="s">
        <v>138</v>
      </c>
      <c r="C165" s="6">
        <v>30</v>
      </c>
      <c r="D165" s="6">
        <v>11998</v>
      </c>
      <c r="E165" s="21">
        <f t="shared" si="18"/>
        <v>359940</v>
      </c>
      <c r="F165" s="24">
        <v>2</v>
      </c>
      <c r="G165" s="18">
        <f t="shared" si="19"/>
        <v>60</v>
      </c>
    </row>
    <row r="166" spans="1:7" x14ac:dyDescent="0.2">
      <c r="A166" s="6">
        <v>20</v>
      </c>
      <c r="B166" s="6" t="s">
        <v>139</v>
      </c>
      <c r="C166" s="6">
        <v>5</v>
      </c>
      <c r="D166" s="6">
        <v>15399</v>
      </c>
      <c r="E166" s="21">
        <f t="shared" si="18"/>
        <v>76995</v>
      </c>
      <c r="F166" s="24">
        <v>3</v>
      </c>
      <c r="G166" s="18">
        <f t="shared" si="19"/>
        <v>15</v>
      </c>
    </row>
    <row r="167" spans="1:7" x14ac:dyDescent="0.2">
      <c r="A167" s="6">
        <v>21</v>
      </c>
      <c r="B167" s="6" t="s">
        <v>140</v>
      </c>
      <c r="C167" s="6">
        <v>10</v>
      </c>
      <c r="D167" s="6">
        <v>32500</v>
      </c>
      <c r="E167" s="21">
        <f t="shared" si="18"/>
        <v>325000</v>
      </c>
      <c r="F167" s="24">
        <v>5</v>
      </c>
      <c r="G167" s="18">
        <f t="shared" si="19"/>
        <v>50</v>
      </c>
    </row>
    <row r="168" spans="1:7" x14ac:dyDescent="0.2">
      <c r="A168" s="6">
        <v>22</v>
      </c>
      <c r="B168" s="6" t="s">
        <v>141</v>
      </c>
      <c r="C168" s="6">
        <v>5</v>
      </c>
      <c r="D168" s="6">
        <v>16260</v>
      </c>
      <c r="E168" s="21">
        <f t="shared" si="18"/>
        <v>81300</v>
      </c>
      <c r="F168" s="24">
        <v>0.5</v>
      </c>
      <c r="G168" s="18">
        <f t="shared" si="19"/>
        <v>2.5</v>
      </c>
    </row>
    <row r="169" spans="1:7" x14ac:dyDescent="0.2">
      <c r="A169" s="6">
        <v>23</v>
      </c>
      <c r="B169" s="6" t="s">
        <v>142</v>
      </c>
      <c r="C169" s="6">
        <v>15</v>
      </c>
      <c r="D169" s="6">
        <v>9900</v>
      </c>
      <c r="E169" s="21">
        <f t="shared" si="18"/>
        <v>148500</v>
      </c>
      <c r="F169" s="24">
        <v>3.5</v>
      </c>
      <c r="G169" s="18">
        <f t="shared" si="19"/>
        <v>52.5</v>
      </c>
    </row>
    <row r="170" spans="1:7" x14ac:dyDescent="0.2">
      <c r="A170" s="6">
        <v>24</v>
      </c>
      <c r="B170" s="6" t="s">
        <v>143</v>
      </c>
      <c r="C170" s="6">
        <v>5</v>
      </c>
      <c r="D170" s="6">
        <v>9900</v>
      </c>
      <c r="E170" s="21">
        <f t="shared" si="18"/>
        <v>49500</v>
      </c>
      <c r="F170" s="24">
        <v>3.5</v>
      </c>
      <c r="G170" s="18">
        <f t="shared" si="19"/>
        <v>17.5</v>
      </c>
    </row>
    <row r="171" spans="1:7" x14ac:dyDescent="0.2">
      <c r="A171" s="6">
        <v>25</v>
      </c>
      <c r="B171" s="6" t="s">
        <v>144</v>
      </c>
      <c r="C171" s="6">
        <v>2</v>
      </c>
      <c r="D171" s="6">
        <v>27700</v>
      </c>
      <c r="E171" s="21">
        <f t="shared" si="18"/>
        <v>55400</v>
      </c>
      <c r="F171" s="24">
        <v>0</v>
      </c>
      <c r="G171" s="18">
        <f t="shared" si="19"/>
        <v>0</v>
      </c>
    </row>
    <row r="172" spans="1:7" x14ac:dyDescent="0.2">
      <c r="A172" s="6">
        <v>26</v>
      </c>
      <c r="B172" s="6" t="s">
        <v>145</v>
      </c>
      <c r="C172" s="6">
        <v>10</v>
      </c>
      <c r="D172" s="6">
        <v>16490</v>
      </c>
      <c r="E172" s="21">
        <f t="shared" si="18"/>
        <v>164900</v>
      </c>
      <c r="F172" s="24">
        <v>5</v>
      </c>
      <c r="G172" s="18">
        <f t="shared" si="19"/>
        <v>50</v>
      </c>
    </row>
    <row r="173" spans="1:7" x14ac:dyDescent="0.2">
      <c r="A173" s="6">
        <v>27</v>
      </c>
      <c r="B173" s="6" t="s">
        <v>146</v>
      </c>
      <c r="C173" s="6">
        <v>40</v>
      </c>
      <c r="D173" s="6">
        <v>14799</v>
      </c>
      <c r="E173" s="21">
        <f t="shared" si="18"/>
        <v>591960</v>
      </c>
      <c r="F173" s="24">
        <v>2</v>
      </c>
      <c r="G173" s="18">
        <f t="shared" si="19"/>
        <v>80</v>
      </c>
    </row>
    <row r="174" spans="1:7" x14ac:dyDescent="0.2">
      <c r="A174" s="6">
        <v>28</v>
      </c>
      <c r="B174" s="6" t="s">
        <v>147</v>
      </c>
      <c r="C174" s="6">
        <v>2</v>
      </c>
      <c r="D174" s="6">
        <v>179000</v>
      </c>
      <c r="E174" s="21">
        <f t="shared" si="18"/>
        <v>358000</v>
      </c>
      <c r="F174" s="24">
        <v>25</v>
      </c>
      <c r="G174" s="18">
        <f t="shared" si="19"/>
        <v>50</v>
      </c>
    </row>
    <row r="175" spans="1:7" x14ac:dyDescent="0.2">
      <c r="A175" s="6">
        <v>29</v>
      </c>
      <c r="B175" s="6" t="s">
        <v>148</v>
      </c>
      <c r="C175" s="6">
        <v>30</v>
      </c>
      <c r="D175" s="6">
        <v>21500</v>
      </c>
      <c r="E175" s="21">
        <f t="shared" si="18"/>
        <v>645000</v>
      </c>
      <c r="F175" s="24">
        <v>2</v>
      </c>
      <c r="G175" s="18">
        <f t="shared" si="19"/>
        <v>60</v>
      </c>
    </row>
    <row r="176" spans="1:7" x14ac:dyDescent="0.2">
      <c r="A176" s="6">
        <v>30</v>
      </c>
      <c r="B176" s="6" t="s">
        <v>149</v>
      </c>
      <c r="C176" s="6">
        <v>1</v>
      </c>
      <c r="D176" s="6">
        <v>15500</v>
      </c>
      <c r="E176" s="21">
        <f t="shared" si="18"/>
        <v>15500</v>
      </c>
      <c r="F176" s="24">
        <v>2</v>
      </c>
      <c r="G176" s="18">
        <f t="shared" si="19"/>
        <v>2</v>
      </c>
    </row>
    <row r="177" spans="1:7" x14ac:dyDescent="0.2">
      <c r="A177" s="6"/>
      <c r="B177" s="6"/>
      <c r="C177" s="6"/>
      <c r="D177" s="6"/>
      <c r="E177" s="23">
        <f>SUM(E147:E176)</f>
        <v>7673845</v>
      </c>
      <c r="F177" s="6"/>
      <c r="G177" s="19">
        <f>SUM(G147:G176)</f>
        <v>1186</v>
      </c>
    </row>
    <row r="179" spans="1:7" x14ac:dyDescent="0.2">
      <c r="G179" s="10">
        <f>G177+G144</f>
        <v>5694.5</v>
      </c>
    </row>
  </sheetData>
  <mergeCells count="1">
    <mergeCell ref="A1:F1"/>
  </mergeCells>
  <phoneticPr fontId="3" type="noConversion"/>
  <pageMargins left="0.43307086614173229" right="0.23622047244094491" top="0.74803149606299213" bottom="0.74803149606299213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E56C-ED10-264B-A0CE-0DBEFB436370}">
  <dimension ref="C1:T186"/>
  <sheetViews>
    <sheetView topLeftCell="G35" workbookViewId="0">
      <selection activeCell="K49" sqref="K49"/>
    </sheetView>
  </sheetViews>
  <sheetFormatPr baseColWidth="10" defaultRowHeight="26" x14ac:dyDescent="0.3"/>
  <cols>
    <col min="3" max="3" width="59.83203125" style="53" bestFit="1" customWidth="1"/>
    <col min="4" max="5" width="14.33203125" style="53" bestFit="1" customWidth="1"/>
    <col min="6" max="6" width="19" style="53" bestFit="1" customWidth="1"/>
    <col min="9" max="9" width="41" bestFit="1" customWidth="1"/>
    <col min="10" max="10" width="16.1640625" bestFit="1" customWidth="1"/>
    <col min="11" max="11" width="27.5" bestFit="1" customWidth="1"/>
    <col min="12" max="12" width="28.6640625" bestFit="1" customWidth="1"/>
    <col min="13" max="13" width="19" bestFit="1" customWidth="1"/>
    <col min="14" max="14" width="18.33203125" bestFit="1" customWidth="1"/>
    <col min="15" max="15" width="14.33203125" bestFit="1" customWidth="1"/>
    <col min="16" max="16" width="21" bestFit="1" customWidth="1"/>
    <col min="17" max="17" width="17" bestFit="1" customWidth="1"/>
    <col min="18" max="18" width="19" bestFit="1" customWidth="1"/>
  </cols>
  <sheetData>
    <row r="1" spans="3:15" x14ac:dyDescent="0.3">
      <c r="C1" s="84" t="s">
        <v>274</v>
      </c>
      <c r="D1" s="84"/>
      <c r="E1" s="84"/>
      <c r="F1" s="84"/>
      <c r="I1" s="31" t="s">
        <v>342</v>
      </c>
      <c r="J1" s="31" t="s">
        <v>284</v>
      </c>
      <c r="K1" s="31" t="s">
        <v>283</v>
      </c>
      <c r="L1" s="31" t="s">
        <v>282</v>
      </c>
      <c r="M1" s="31" t="s">
        <v>339</v>
      </c>
      <c r="N1" s="31" t="s">
        <v>338</v>
      </c>
    </row>
    <row r="2" spans="3:15" x14ac:dyDescent="0.3">
      <c r="C2" s="32" t="s">
        <v>165</v>
      </c>
      <c r="D2" s="32" t="s">
        <v>166</v>
      </c>
      <c r="E2" s="32" t="s">
        <v>273</v>
      </c>
      <c r="F2" s="32" t="s">
        <v>277</v>
      </c>
      <c r="I2" s="55" t="s">
        <v>281</v>
      </c>
      <c r="J2" s="31">
        <v>20</v>
      </c>
      <c r="K2" s="56">
        <v>0.75</v>
      </c>
      <c r="L2" s="57">
        <v>0.25</v>
      </c>
      <c r="M2" s="56">
        <f t="shared" ref="M2:M7" si="0">J2*K2</f>
        <v>15</v>
      </c>
      <c r="N2" s="56">
        <v>11</v>
      </c>
      <c r="O2" s="10"/>
    </row>
    <row r="3" spans="3:15" x14ac:dyDescent="0.3">
      <c r="C3" s="32" t="s">
        <v>164</v>
      </c>
      <c r="D3" s="33">
        <v>0.25</v>
      </c>
      <c r="E3" s="33">
        <v>3.5</v>
      </c>
      <c r="F3" s="49"/>
      <c r="I3" s="55" t="s">
        <v>285</v>
      </c>
      <c r="J3" s="31">
        <v>1</v>
      </c>
      <c r="K3" s="56">
        <v>30</v>
      </c>
      <c r="L3" s="31">
        <v>26.5</v>
      </c>
      <c r="M3" s="56">
        <f t="shared" si="0"/>
        <v>30</v>
      </c>
      <c r="N3" s="31">
        <v>22.05</v>
      </c>
    </row>
    <row r="4" spans="3:15" x14ac:dyDescent="0.3">
      <c r="C4" s="32" t="s">
        <v>151</v>
      </c>
      <c r="D4" s="33">
        <v>0.5</v>
      </c>
      <c r="E4" s="33">
        <v>2</v>
      </c>
      <c r="F4" s="49"/>
      <c r="I4" s="55" t="s">
        <v>286</v>
      </c>
      <c r="J4" s="31">
        <v>2</v>
      </c>
      <c r="K4" s="56">
        <v>30</v>
      </c>
      <c r="L4" s="31">
        <v>26.5</v>
      </c>
      <c r="M4" s="56">
        <f t="shared" si="0"/>
        <v>60</v>
      </c>
      <c r="N4" s="56">
        <v>44.1</v>
      </c>
    </row>
    <row r="5" spans="3:15" x14ac:dyDescent="0.3">
      <c r="C5" s="32" t="s">
        <v>152</v>
      </c>
      <c r="D5" s="33">
        <v>6</v>
      </c>
      <c r="E5" s="33">
        <v>3</v>
      </c>
      <c r="F5" s="49"/>
      <c r="I5" s="55" t="s">
        <v>287</v>
      </c>
      <c r="J5" s="31">
        <v>1</v>
      </c>
      <c r="K5" s="56">
        <v>13</v>
      </c>
      <c r="L5" s="31"/>
      <c r="M5" s="56">
        <f t="shared" si="0"/>
        <v>13</v>
      </c>
      <c r="N5" s="56">
        <v>9</v>
      </c>
    </row>
    <row r="6" spans="3:15" x14ac:dyDescent="0.3">
      <c r="C6" s="32" t="s">
        <v>153</v>
      </c>
      <c r="D6" s="33">
        <v>2.5</v>
      </c>
      <c r="E6" s="33">
        <v>10</v>
      </c>
      <c r="F6" s="49"/>
      <c r="I6" s="55" t="s">
        <v>288</v>
      </c>
      <c r="J6" s="31">
        <v>3</v>
      </c>
      <c r="K6" s="56">
        <v>12</v>
      </c>
      <c r="L6" s="31">
        <v>25</v>
      </c>
      <c r="M6" s="56">
        <f t="shared" si="0"/>
        <v>36</v>
      </c>
      <c r="N6" s="56">
        <v>27</v>
      </c>
    </row>
    <row r="7" spans="3:15" x14ac:dyDescent="0.3">
      <c r="C7" s="32" t="s">
        <v>154</v>
      </c>
      <c r="D7" s="33">
        <v>5</v>
      </c>
      <c r="E7" s="33">
        <v>1</v>
      </c>
      <c r="F7" s="49"/>
      <c r="I7" s="55" t="s">
        <v>289</v>
      </c>
      <c r="J7" s="31">
        <v>3</v>
      </c>
      <c r="K7" s="56">
        <v>30</v>
      </c>
      <c r="L7" s="31"/>
      <c r="M7" s="56">
        <f t="shared" si="0"/>
        <v>90</v>
      </c>
      <c r="N7" s="56">
        <v>66</v>
      </c>
    </row>
    <row r="8" spans="3:15" x14ac:dyDescent="0.3">
      <c r="C8" s="32" t="s">
        <v>155</v>
      </c>
      <c r="D8" s="33">
        <v>2</v>
      </c>
      <c r="E8" s="33">
        <v>10</v>
      </c>
      <c r="F8" s="49"/>
      <c r="I8" s="55" t="s">
        <v>290</v>
      </c>
      <c r="J8" s="31">
        <v>2</v>
      </c>
      <c r="K8" s="82">
        <v>20</v>
      </c>
      <c r="L8" s="83">
        <v>1</v>
      </c>
      <c r="M8" s="56"/>
      <c r="N8" s="82">
        <f>K8*L8</f>
        <v>20</v>
      </c>
    </row>
    <row r="9" spans="3:15" x14ac:dyDescent="0.3">
      <c r="C9" s="32" t="s">
        <v>156</v>
      </c>
      <c r="D9" s="33">
        <v>4</v>
      </c>
      <c r="E9" s="33">
        <v>7</v>
      </c>
      <c r="F9" s="49"/>
      <c r="I9" s="55" t="s">
        <v>291</v>
      </c>
      <c r="J9" s="31">
        <v>6</v>
      </c>
      <c r="K9" s="82"/>
      <c r="L9" s="83"/>
      <c r="M9" s="56">
        <f>J8*K9</f>
        <v>0</v>
      </c>
      <c r="N9" s="82"/>
    </row>
    <row r="10" spans="3:15" x14ac:dyDescent="0.3">
      <c r="C10" s="32" t="s">
        <v>157</v>
      </c>
      <c r="D10" s="33">
        <v>3</v>
      </c>
      <c r="E10" s="33">
        <v>5</v>
      </c>
      <c r="F10" s="49"/>
      <c r="I10" s="55" t="s">
        <v>292</v>
      </c>
      <c r="J10" s="31">
        <v>2</v>
      </c>
      <c r="K10" s="82"/>
      <c r="L10" s="83"/>
      <c r="M10" s="56">
        <f>J9*K10</f>
        <v>0</v>
      </c>
      <c r="N10" s="82"/>
    </row>
    <row r="11" spans="3:15" x14ac:dyDescent="0.3">
      <c r="C11" s="32" t="s">
        <v>158</v>
      </c>
      <c r="D11" s="33">
        <v>6</v>
      </c>
      <c r="E11" s="33">
        <v>15</v>
      </c>
      <c r="F11" s="49"/>
      <c r="I11" s="55" t="s">
        <v>293</v>
      </c>
      <c r="J11" s="31">
        <v>8</v>
      </c>
      <c r="K11" s="82"/>
      <c r="L11" s="83"/>
      <c r="M11" s="56">
        <f>J10*K11</f>
        <v>0</v>
      </c>
      <c r="N11" s="82"/>
    </row>
    <row r="12" spans="3:15" x14ac:dyDescent="0.3">
      <c r="C12" s="32" t="s">
        <v>159</v>
      </c>
      <c r="D12" s="33">
        <v>15</v>
      </c>
      <c r="E12" s="33">
        <v>5</v>
      </c>
      <c r="F12" s="49"/>
      <c r="I12" s="55" t="s">
        <v>294</v>
      </c>
      <c r="J12" s="31">
        <v>1</v>
      </c>
      <c r="K12" s="56">
        <v>8</v>
      </c>
      <c r="L12" s="31"/>
      <c r="M12" s="56">
        <f>J11*K12</f>
        <v>64</v>
      </c>
      <c r="N12" s="56">
        <f>J12*K12</f>
        <v>8</v>
      </c>
    </row>
    <row r="13" spans="3:15" x14ac:dyDescent="0.3">
      <c r="C13" s="32" t="s">
        <v>160</v>
      </c>
      <c r="D13" s="33">
        <v>2</v>
      </c>
      <c r="E13" s="33">
        <v>1</v>
      </c>
      <c r="F13" s="49"/>
      <c r="I13" s="55" t="s">
        <v>295</v>
      </c>
      <c r="J13" s="31">
        <v>1</v>
      </c>
      <c r="K13" s="56">
        <v>20</v>
      </c>
      <c r="L13" s="31">
        <v>30</v>
      </c>
      <c r="M13" s="31"/>
      <c r="N13" s="56">
        <f t="shared" ref="N13:N24" si="1">J13*K13</f>
        <v>20</v>
      </c>
    </row>
    <row r="14" spans="3:15" x14ac:dyDescent="0.3">
      <c r="C14" s="32" t="s">
        <v>161</v>
      </c>
      <c r="D14" s="33">
        <v>2</v>
      </c>
      <c r="E14" s="33">
        <v>0.5</v>
      </c>
      <c r="F14" s="49"/>
      <c r="I14" s="55" t="s">
        <v>183</v>
      </c>
      <c r="J14" s="31">
        <v>1</v>
      </c>
      <c r="K14" s="56">
        <v>33</v>
      </c>
      <c r="L14" s="31"/>
      <c r="M14" s="31"/>
      <c r="N14" s="56">
        <f t="shared" si="1"/>
        <v>33</v>
      </c>
    </row>
    <row r="15" spans="3:15" x14ac:dyDescent="0.3">
      <c r="C15" s="32" t="s">
        <v>162</v>
      </c>
      <c r="D15" s="33">
        <v>2</v>
      </c>
      <c r="E15" s="33">
        <v>2</v>
      </c>
      <c r="F15" s="49"/>
      <c r="I15" s="55" t="s">
        <v>186</v>
      </c>
      <c r="J15" s="31">
        <v>1</v>
      </c>
      <c r="K15" s="56">
        <v>33</v>
      </c>
      <c r="L15" s="31"/>
      <c r="M15" s="31"/>
      <c r="N15" s="56">
        <f t="shared" si="1"/>
        <v>33</v>
      </c>
    </row>
    <row r="16" spans="3:15" x14ac:dyDescent="0.3">
      <c r="C16" s="32" t="s">
        <v>163</v>
      </c>
      <c r="D16" s="33">
        <v>4.5</v>
      </c>
      <c r="E16" s="33">
        <v>5</v>
      </c>
      <c r="F16" s="49"/>
      <c r="I16" s="55" t="s">
        <v>296</v>
      </c>
      <c r="J16" s="31">
        <v>1</v>
      </c>
      <c r="K16" s="56">
        <v>1</v>
      </c>
      <c r="L16" s="31"/>
      <c r="M16" s="31"/>
      <c r="N16" s="56">
        <f t="shared" si="1"/>
        <v>1</v>
      </c>
    </row>
    <row r="17" spans="3:20" x14ac:dyDescent="0.3">
      <c r="C17" s="32"/>
      <c r="D17" s="33"/>
      <c r="E17" s="33">
        <v>0.5</v>
      </c>
      <c r="F17" s="49"/>
      <c r="I17" s="55" t="s">
        <v>297</v>
      </c>
      <c r="J17" s="31">
        <v>1</v>
      </c>
      <c r="K17" s="56">
        <v>38</v>
      </c>
      <c r="L17" s="31"/>
      <c r="M17" s="31"/>
      <c r="N17" s="56">
        <f t="shared" si="1"/>
        <v>38</v>
      </c>
    </row>
    <row r="18" spans="3:20" x14ac:dyDescent="0.3">
      <c r="C18" s="32" t="s">
        <v>167</v>
      </c>
      <c r="D18" s="33">
        <v>30</v>
      </c>
      <c r="E18" s="33">
        <v>11</v>
      </c>
      <c r="F18" s="49"/>
      <c r="I18" s="55" t="s">
        <v>298</v>
      </c>
      <c r="J18" s="31">
        <v>1</v>
      </c>
      <c r="K18" s="56">
        <v>11.25</v>
      </c>
      <c r="L18" s="31"/>
      <c r="M18" s="31"/>
      <c r="N18" s="56">
        <f t="shared" si="1"/>
        <v>11.25</v>
      </c>
    </row>
    <row r="19" spans="3:20" x14ac:dyDescent="0.3">
      <c r="C19" s="32" t="s">
        <v>168</v>
      </c>
      <c r="D19" s="33">
        <v>3</v>
      </c>
      <c r="E19" s="33">
        <v>1</v>
      </c>
      <c r="F19" s="49"/>
      <c r="I19" s="55" t="s">
        <v>299</v>
      </c>
      <c r="J19" s="31">
        <v>1</v>
      </c>
      <c r="K19" s="56">
        <v>0.5</v>
      </c>
      <c r="L19" s="31"/>
      <c r="M19" s="31"/>
      <c r="N19" s="56">
        <f t="shared" si="1"/>
        <v>0.5</v>
      </c>
    </row>
    <row r="20" spans="3:20" x14ac:dyDescent="0.3">
      <c r="C20" s="32" t="s">
        <v>169</v>
      </c>
      <c r="D20" s="33">
        <v>1.5</v>
      </c>
      <c r="E20" s="33">
        <v>1</v>
      </c>
      <c r="F20" s="49"/>
      <c r="I20" s="55" t="s">
        <v>300</v>
      </c>
      <c r="J20" s="31">
        <v>1</v>
      </c>
      <c r="K20" s="56">
        <v>8</v>
      </c>
      <c r="L20" s="31"/>
      <c r="M20" s="31"/>
      <c r="N20" s="56">
        <f t="shared" si="1"/>
        <v>8</v>
      </c>
    </row>
    <row r="21" spans="3:20" x14ac:dyDescent="0.3">
      <c r="C21" s="32" t="s">
        <v>170</v>
      </c>
      <c r="D21" s="33">
        <v>6</v>
      </c>
      <c r="E21" s="33">
        <v>2</v>
      </c>
      <c r="F21" s="49"/>
      <c r="I21" s="55" t="s">
        <v>169</v>
      </c>
      <c r="J21" s="31">
        <v>1</v>
      </c>
      <c r="K21" s="56">
        <v>8</v>
      </c>
      <c r="L21" s="31"/>
      <c r="M21" s="31"/>
      <c r="N21" s="56">
        <f t="shared" si="1"/>
        <v>8</v>
      </c>
    </row>
    <row r="22" spans="3:20" x14ac:dyDescent="0.3">
      <c r="C22" s="32" t="s">
        <v>171</v>
      </c>
      <c r="D22" s="33">
        <v>13</v>
      </c>
      <c r="E22" s="33">
        <v>2</v>
      </c>
      <c r="F22" s="49"/>
      <c r="I22" s="55" t="s">
        <v>301</v>
      </c>
      <c r="J22" s="31">
        <v>1</v>
      </c>
      <c r="K22" s="56">
        <v>23</v>
      </c>
      <c r="L22" s="31"/>
      <c r="M22" s="31"/>
      <c r="N22" s="56">
        <f t="shared" si="1"/>
        <v>23</v>
      </c>
    </row>
    <row r="23" spans="3:20" x14ac:dyDescent="0.3">
      <c r="C23" s="32" t="s">
        <v>172</v>
      </c>
      <c r="D23" s="33">
        <v>6</v>
      </c>
      <c r="E23" s="33">
        <v>3.5</v>
      </c>
      <c r="F23" s="49"/>
      <c r="I23" s="55" t="s">
        <v>302</v>
      </c>
      <c r="J23" s="31">
        <v>1</v>
      </c>
      <c r="K23" s="56">
        <v>20</v>
      </c>
      <c r="L23" s="31"/>
      <c r="M23" s="31"/>
      <c r="N23" s="56">
        <f t="shared" si="1"/>
        <v>20</v>
      </c>
    </row>
    <row r="24" spans="3:20" x14ac:dyDescent="0.3">
      <c r="C24" s="32" t="s">
        <v>180</v>
      </c>
      <c r="D24" s="33">
        <v>2.5</v>
      </c>
      <c r="E24" s="33">
        <v>1</v>
      </c>
      <c r="F24" s="49"/>
      <c r="I24" s="55" t="s">
        <v>303</v>
      </c>
      <c r="J24" s="31">
        <v>1</v>
      </c>
      <c r="K24" s="56">
        <v>8</v>
      </c>
      <c r="L24" s="58"/>
      <c r="M24" s="31"/>
      <c r="N24" s="56">
        <f t="shared" si="1"/>
        <v>8</v>
      </c>
    </row>
    <row r="25" spans="3:20" x14ac:dyDescent="0.3">
      <c r="C25" s="32" t="s">
        <v>173</v>
      </c>
      <c r="D25" s="33">
        <v>2.5</v>
      </c>
      <c r="E25" s="33">
        <v>4.25</v>
      </c>
      <c r="F25" s="49"/>
      <c r="I25" s="53"/>
      <c r="J25" s="53"/>
      <c r="K25" s="53"/>
      <c r="L25" s="53"/>
      <c r="M25" s="49"/>
      <c r="N25" s="49"/>
    </row>
    <row r="26" spans="3:20" x14ac:dyDescent="0.3">
      <c r="C26" s="32" t="s">
        <v>174</v>
      </c>
      <c r="D26" s="33">
        <v>1</v>
      </c>
      <c r="E26" s="33">
        <v>6</v>
      </c>
      <c r="F26" s="49"/>
      <c r="I26" s="53"/>
      <c r="J26" s="53"/>
      <c r="K26" s="53"/>
      <c r="L26" s="53"/>
      <c r="M26" s="59" t="s">
        <v>341</v>
      </c>
      <c r="N26" s="60">
        <f>SUM(N2:N24)</f>
        <v>410.9</v>
      </c>
    </row>
    <row r="27" spans="3:20" x14ac:dyDescent="0.3">
      <c r="C27" s="32" t="s">
        <v>169</v>
      </c>
      <c r="D27" s="33">
        <v>1.5</v>
      </c>
      <c r="E27" s="33">
        <v>1</v>
      </c>
      <c r="F27" s="49"/>
    </row>
    <row r="28" spans="3:20" x14ac:dyDescent="0.3">
      <c r="C28" s="32" t="s">
        <v>175</v>
      </c>
      <c r="D28" s="33">
        <v>0.5</v>
      </c>
      <c r="E28" s="33">
        <v>3.5</v>
      </c>
      <c r="F28" s="49"/>
    </row>
    <row r="29" spans="3:20" x14ac:dyDescent="0.3">
      <c r="C29" s="32" t="s">
        <v>176</v>
      </c>
      <c r="D29" s="33">
        <v>4</v>
      </c>
      <c r="E29" s="33">
        <v>2.5</v>
      </c>
      <c r="F29" s="49"/>
    </row>
    <row r="30" spans="3:20" x14ac:dyDescent="0.3">
      <c r="C30" s="32" t="s">
        <v>170</v>
      </c>
      <c r="D30" s="33">
        <v>6</v>
      </c>
      <c r="E30" s="33">
        <v>6</v>
      </c>
      <c r="F30" s="49"/>
    </row>
    <row r="31" spans="3:20" x14ac:dyDescent="0.3">
      <c r="C31" s="32" t="s">
        <v>177</v>
      </c>
      <c r="D31" s="33">
        <v>0.25</v>
      </c>
      <c r="E31" s="33">
        <v>5.25</v>
      </c>
      <c r="F31" s="49"/>
      <c r="K31" s="49"/>
      <c r="L31" s="49"/>
      <c r="M31" s="49"/>
      <c r="N31" s="49"/>
      <c r="O31" s="49"/>
      <c r="P31" s="49"/>
      <c r="Q31" s="49"/>
      <c r="R31" s="49"/>
      <c r="S31" s="49"/>
      <c r="T31" s="49"/>
    </row>
    <row r="32" spans="3:20" x14ac:dyDescent="0.3">
      <c r="C32" s="32" t="s">
        <v>190</v>
      </c>
      <c r="D32" s="33">
        <v>1</v>
      </c>
      <c r="E32" s="33">
        <v>4.5</v>
      </c>
      <c r="F32" s="49"/>
      <c r="K32" s="49" t="s">
        <v>336</v>
      </c>
      <c r="L32" s="49" t="s">
        <v>305</v>
      </c>
      <c r="M32" s="49" t="s">
        <v>304</v>
      </c>
      <c r="N32" s="49" t="s">
        <v>306</v>
      </c>
      <c r="O32" s="59" t="s">
        <v>307</v>
      </c>
      <c r="P32" s="49" t="s">
        <v>308</v>
      </c>
      <c r="Q32" s="49" t="s">
        <v>309</v>
      </c>
      <c r="R32" s="49" t="s">
        <v>312</v>
      </c>
      <c r="S32" s="49" t="s">
        <v>313</v>
      </c>
      <c r="T32" s="49" t="s">
        <v>335</v>
      </c>
    </row>
    <row r="33" spans="3:20" x14ac:dyDescent="0.3">
      <c r="C33" s="32" t="s">
        <v>178</v>
      </c>
      <c r="D33" s="33">
        <v>7</v>
      </c>
      <c r="E33" s="33">
        <v>3</v>
      </c>
      <c r="F33" s="49"/>
      <c r="K33" s="49">
        <f>O33-N33</f>
        <v>669.6</v>
      </c>
      <c r="L33" s="49">
        <v>777.5</v>
      </c>
      <c r="M33" s="49">
        <v>303</v>
      </c>
      <c r="N33" s="49">
        <v>410.9</v>
      </c>
      <c r="O33" s="59">
        <f>L33+M33</f>
        <v>1080.5</v>
      </c>
      <c r="P33" s="49">
        <f>L33-N33</f>
        <v>366.6</v>
      </c>
      <c r="Q33" s="49">
        <f>M33*R33</f>
        <v>60.6</v>
      </c>
      <c r="R33" s="49">
        <v>0.2</v>
      </c>
      <c r="S33" s="49">
        <f>M33-Q33</f>
        <v>242.4</v>
      </c>
      <c r="T33" s="49">
        <f>P33-80</f>
        <v>286.60000000000002</v>
      </c>
    </row>
    <row r="34" spans="3:20" x14ac:dyDescent="0.3">
      <c r="C34" s="32" t="s">
        <v>179</v>
      </c>
      <c r="D34" s="33">
        <v>4.5</v>
      </c>
      <c r="E34" s="33">
        <v>3</v>
      </c>
      <c r="F34" s="49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3:20" x14ac:dyDescent="0.3">
      <c r="C35" s="32" t="s">
        <v>181</v>
      </c>
      <c r="D35" s="33">
        <v>2</v>
      </c>
      <c r="E35" s="33">
        <v>1.5</v>
      </c>
      <c r="F35" s="49"/>
    </row>
    <row r="36" spans="3:20" x14ac:dyDescent="0.3">
      <c r="C36" s="32" t="s">
        <v>191</v>
      </c>
      <c r="D36" s="33">
        <v>1</v>
      </c>
      <c r="E36" s="33">
        <v>15</v>
      </c>
      <c r="F36" s="49"/>
      <c r="L36" s="31" t="s">
        <v>315</v>
      </c>
      <c r="M36" s="31" t="s">
        <v>119</v>
      </c>
      <c r="N36" s="31">
        <v>0.1</v>
      </c>
      <c r="O36" s="31" t="s">
        <v>314</v>
      </c>
      <c r="P36" s="31">
        <v>0.12</v>
      </c>
      <c r="Q36" s="31" t="s">
        <v>316</v>
      </c>
    </row>
    <row r="37" spans="3:20" x14ac:dyDescent="0.3">
      <c r="C37" s="32" t="s">
        <v>182</v>
      </c>
      <c r="D37" s="33">
        <v>4</v>
      </c>
      <c r="E37" s="33">
        <v>5</v>
      </c>
      <c r="F37" s="49"/>
      <c r="L37" s="32" t="s">
        <v>310</v>
      </c>
      <c r="M37" s="33">
        <v>163</v>
      </c>
      <c r="N37" s="32">
        <f>M37*N36</f>
        <v>16.3</v>
      </c>
      <c r="O37" s="34">
        <f>M37-P37</f>
        <v>143.44</v>
      </c>
      <c r="P37" s="33">
        <f>M37*P36</f>
        <v>19.559999999999999</v>
      </c>
      <c r="Q37" s="33">
        <v>30</v>
      </c>
    </row>
    <row r="38" spans="3:20" x14ac:dyDescent="0.3">
      <c r="C38" s="32" t="s">
        <v>183</v>
      </c>
      <c r="D38" s="33">
        <v>1.5</v>
      </c>
      <c r="E38" s="33">
        <v>15</v>
      </c>
      <c r="F38" s="49"/>
      <c r="L38" s="32" t="s">
        <v>311</v>
      </c>
      <c r="M38" s="33">
        <v>140</v>
      </c>
      <c r="N38" s="32">
        <f>M38*N36</f>
        <v>14</v>
      </c>
      <c r="O38" s="33">
        <f>M38-N38</f>
        <v>126</v>
      </c>
      <c r="P38" s="32"/>
      <c r="Q38" s="32"/>
    </row>
    <row r="39" spans="3:20" x14ac:dyDescent="0.3">
      <c r="C39" s="32" t="s">
        <v>184</v>
      </c>
      <c r="D39" s="33">
        <v>1.25</v>
      </c>
      <c r="E39" s="33">
        <v>4.5</v>
      </c>
      <c r="F39" s="49"/>
      <c r="L39" s="53"/>
      <c r="M39" s="53"/>
      <c r="N39" s="53"/>
      <c r="O39" s="53"/>
      <c r="P39" s="53"/>
      <c r="Q39" s="53"/>
    </row>
    <row r="40" spans="3:20" x14ac:dyDescent="0.3">
      <c r="C40" s="32" t="s">
        <v>192</v>
      </c>
      <c r="D40" s="33">
        <v>2</v>
      </c>
      <c r="E40" s="33">
        <v>35</v>
      </c>
      <c r="F40" s="49"/>
      <c r="L40" s="53"/>
      <c r="M40" s="63">
        <f>SUM(M37:M38)</f>
        <v>303</v>
      </c>
      <c r="N40" s="79">
        <f>M38-Q37</f>
        <v>110</v>
      </c>
      <c r="O40" s="80" t="s">
        <v>340</v>
      </c>
      <c r="P40" s="53"/>
      <c r="Q40" s="53"/>
    </row>
    <row r="41" spans="3:20" x14ac:dyDescent="0.3">
      <c r="C41" s="32" t="s">
        <v>185</v>
      </c>
      <c r="D41" s="33">
        <v>5</v>
      </c>
      <c r="E41" s="33">
        <v>5.5</v>
      </c>
      <c r="F41" s="49"/>
    </row>
    <row r="42" spans="3:20" x14ac:dyDescent="0.3">
      <c r="C42" s="32" t="s">
        <v>186</v>
      </c>
      <c r="D42" s="33">
        <v>4.5</v>
      </c>
      <c r="E42" s="33">
        <v>1</v>
      </c>
      <c r="F42" s="49"/>
      <c r="J42" s="6"/>
      <c r="K42" s="6"/>
      <c r="L42" s="6"/>
      <c r="M42" s="6"/>
      <c r="N42" s="6"/>
      <c r="O42" s="6">
        <v>0.1</v>
      </c>
      <c r="P42" s="6"/>
      <c r="Q42" s="6"/>
      <c r="R42" s="6"/>
    </row>
    <row r="43" spans="3:20" x14ac:dyDescent="0.3">
      <c r="C43" s="32" t="s">
        <v>186</v>
      </c>
      <c r="D43" s="33">
        <v>4.5</v>
      </c>
      <c r="E43" s="33">
        <v>18</v>
      </c>
      <c r="F43" s="49"/>
      <c r="J43" s="73" t="s">
        <v>317</v>
      </c>
      <c r="K43" s="73" t="s">
        <v>318</v>
      </c>
      <c r="L43" s="73" t="s">
        <v>330</v>
      </c>
      <c r="M43" s="73" t="s">
        <v>331</v>
      </c>
      <c r="N43" s="73" t="s">
        <v>332</v>
      </c>
      <c r="O43" s="73" t="s">
        <v>333</v>
      </c>
      <c r="P43" s="73" t="s">
        <v>334</v>
      </c>
      <c r="Q43" s="74" t="s">
        <v>337</v>
      </c>
      <c r="R43" s="74" t="s">
        <v>277</v>
      </c>
    </row>
    <row r="44" spans="3:20" x14ac:dyDescent="0.3">
      <c r="C44" s="32" t="s">
        <v>187</v>
      </c>
      <c r="D44" s="33">
        <v>1.5</v>
      </c>
      <c r="E44" s="33">
        <v>2.5</v>
      </c>
      <c r="F44" s="49"/>
      <c r="J44" s="75" t="s">
        <v>319</v>
      </c>
      <c r="K44" s="105">
        <v>882</v>
      </c>
      <c r="L44" s="35">
        <v>364.3</v>
      </c>
      <c r="M44" s="35">
        <v>80</v>
      </c>
      <c r="N44" s="35">
        <v>252</v>
      </c>
      <c r="O44" s="35">
        <f>N44*O42</f>
        <v>25.200000000000003</v>
      </c>
      <c r="P44" s="35">
        <f>N44-O44</f>
        <v>226.8</v>
      </c>
      <c r="Q44" s="78">
        <f>L44+O44</f>
        <v>389.5</v>
      </c>
      <c r="R44" s="78">
        <v>410.9</v>
      </c>
    </row>
    <row r="45" spans="3:20" x14ac:dyDescent="0.3">
      <c r="C45" s="32" t="s">
        <v>186</v>
      </c>
      <c r="D45" s="33">
        <v>4.5</v>
      </c>
      <c r="E45" s="33">
        <v>2</v>
      </c>
      <c r="F45" s="49"/>
      <c r="J45" s="75" t="s">
        <v>320</v>
      </c>
      <c r="K45" s="105">
        <v>1080.5</v>
      </c>
      <c r="L45" s="35">
        <v>366.6</v>
      </c>
      <c r="M45" s="35">
        <v>80</v>
      </c>
      <c r="N45" s="35">
        <v>395.25</v>
      </c>
      <c r="O45" s="35">
        <v>39.53</v>
      </c>
      <c r="P45" s="35">
        <v>355.73</v>
      </c>
      <c r="Q45" s="78">
        <f t="shared" ref="Q45:Q54" si="2">L45+O45</f>
        <v>406.13</v>
      </c>
      <c r="R45" s="35">
        <v>395.25</v>
      </c>
    </row>
    <row r="46" spans="3:20" ht="31" x14ac:dyDescent="0.3">
      <c r="C46" s="32" t="s">
        <v>188</v>
      </c>
      <c r="D46" s="33">
        <v>4.5</v>
      </c>
      <c r="E46" s="33">
        <v>4</v>
      </c>
      <c r="F46" s="49"/>
      <c r="J46" s="75" t="s">
        <v>321</v>
      </c>
      <c r="K46" s="106">
        <v>1302.25</v>
      </c>
      <c r="L46" s="35">
        <v>574</v>
      </c>
      <c r="M46" s="35">
        <v>80</v>
      </c>
      <c r="N46" s="35">
        <v>395.25</v>
      </c>
      <c r="O46" s="35">
        <v>39.53</v>
      </c>
      <c r="P46" s="35">
        <v>355.73</v>
      </c>
      <c r="Q46" s="78">
        <v>604</v>
      </c>
      <c r="R46" s="35">
        <v>728.25</v>
      </c>
    </row>
    <row r="47" spans="3:20" x14ac:dyDescent="0.3">
      <c r="C47" s="32" t="s">
        <v>189</v>
      </c>
      <c r="D47" s="33">
        <v>4.5</v>
      </c>
      <c r="E47" s="33">
        <v>1.5</v>
      </c>
      <c r="F47" s="49"/>
      <c r="J47" s="107" t="s">
        <v>322</v>
      </c>
      <c r="K47" s="105">
        <v>1000</v>
      </c>
      <c r="L47" s="35">
        <v>318.44</v>
      </c>
      <c r="M47" s="35">
        <v>80</v>
      </c>
      <c r="N47" s="35">
        <v>378.5</v>
      </c>
      <c r="O47" s="35">
        <v>37.799999999999997</v>
      </c>
      <c r="P47" s="35">
        <v>340.2</v>
      </c>
      <c r="Q47" s="78">
        <f t="shared" si="2"/>
        <v>356.24</v>
      </c>
      <c r="R47" s="35">
        <v>856.06</v>
      </c>
    </row>
    <row r="48" spans="3:20" x14ac:dyDescent="0.3">
      <c r="C48" s="32" t="s">
        <v>193</v>
      </c>
      <c r="D48" s="33">
        <v>4.5</v>
      </c>
      <c r="E48" s="33">
        <v>6</v>
      </c>
      <c r="F48" s="49"/>
      <c r="J48" s="107" t="s">
        <v>323</v>
      </c>
      <c r="K48" s="37">
        <v>2125</v>
      </c>
      <c r="L48" s="35">
        <v>453.75</v>
      </c>
      <c r="M48" s="35">
        <v>0</v>
      </c>
      <c r="N48" s="35">
        <v>405.25</v>
      </c>
      <c r="O48" s="35">
        <v>39.53</v>
      </c>
      <c r="P48" s="35">
        <v>355.73</v>
      </c>
      <c r="Q48" s="78">
        <f t="shared" si="2"/>
        <v>493.28</v>
      </c>
      <c r="R48" s="35">
        <v>633</v>
      </c>
    </row>
    <row r="49" spans="3:18" x14ac:dyDescent="0.3">
      <c r="C49" s="32" t="s">
        <v>194</v>
      </c>
      <c r="D49" s="33">
        <v>3</v>
      </c>
      <c r="E49" s="33">
        <v>4.5</v>
      </c>
      <c r="F49" s="49"/>
      <c r="J49" s="73" t="s">
        <v>324</v>
      </c>
      <c r="K49" s="35"/>
      <c r="L49" s="35"/>
      <c r="M49" s="35"/>
      <c r="N49" s="35"/>
      <c r="O49" s="35"/>
      <c r="P49" s="35"/>
      <c r="Q49" s="78">
        <f t="shared" si="2"/>
        <v>0</v>
      </c>
      <c r="R49" s="35"/>
    </row>
    <row r="50" spans="3:18" x14ac:dyDescent="0.3">
      <c r="C50" s="32" t="s">
        <v>195</v>
      </c>
      <c r="D50" s="33">
        <v>1.5</v>
      </c>
      <c r="E50" s="33">
        <v>5.5</v>
      </c>
      <c r="F50" s="49"/>
      <c r="J50" s="73" t="s">
        <v>325</v>
      </c>
      <c r="L50" s="35"/>
      <c r="M50" s="35"/>
      <c r="N50" s="35"/>
      <c r="O50" s="35"/>
      <c r="P50" s="35"/>
      <c r="Q50" s="78">
        <f t="shared" si="2"/>
        <v>0</v>
      </c>
      <c r="R50" s="35"/>
    </row>
    <row r="51" spans="3:18" x14ac:dyDescent="0.3">
      <c r="C51" s="32" t="s">
        <v>196</v>
      </c>
      <c r="D51" s="33">
        <v>3</v>
      </c>
      <c r="E51" s="33">
        <v>15</v>
      </c>
      <c r="F51" s="49"/>
      <c r="J51" s="73" t="s">
        <v>326</v>
      </c>
      <c r="K51" s="35"/>
      <c r="L51" s="35"/>
      <c r="M51" s="35"/>
      <c r="N51" s="35"/>
      <c r="O51" s="35"/>
      <c r="P51" s="35"/>
      <c r="Q51" s="78">
        <f t="shared" si="2"/>
        <v>0</v>
      </c>
      <c r="R51" s="35"/>
    </row>
    <row r="52" spans="3:18" x14ac:dyDescent="0.3">
      <c r="C52" s="32" t="s">
        <v>197</v>
      </c>
      <c r="D52" s="33">
        <v>15</v>
      </c>
      <c r="E52" s="33">
        <v>4</v>
      </c>
      <c r="F52" s="49"/>
      <c r="J52" s="73" t="s">
        <v>327</v>
      </c>
      <c r="K52" s="35"/>
      <c r="L52" s="35"/>
      <c r="M52" s="35"/>
      <c r="N52" s="35"/>
      <c r="O52" s="35"/>
      <c r="P52" s="35"/>
      <c r="Q52" s="78">
        <f t="shared" si="2"/>
        <v>0</v>
      </c>
      <c r="R52" s="35"/>
    </row>
    <row r="53" spans="3:18" x14ac:dyDescent="0.3">
      <c r="C53" s="32" t="s">
        <v>174</v>
      </c>
      <c r="D53" s="33">
        <v>1</v>
      </c>
      <c r="E53" s="33">
        <v>15</v>
      </c>
      <c r="F53" s="49"/>
      <c r="J53" s="73" t="s">
        <v>328</v>
      </c>
      <c r="K53" s="35"/>
      <c r="L53" s="35"/>
      <c r="M53" s="35"/>
      <c r="N53" s="35"/>
      <c r="O53" s="35"/>
      <c r="P53" s="35"/>
      <c r="Q53" s="78">
        <f t="shared" si="2"/>
        <v>0</v>
      </c>
      <c r="R53" s="35"/>
    </row>
    <row r="54" spans="3:18" x14ac:dyDescent="0.3">
      <c r="C54" s="32" t="s">
        <v>186</v>
      </c>
      <c r="D54" s="33">
        <v>4.5</v>
      </c>
      <c r="E54" s="33">
        <v>5.5</v>
      </c>
      <c r="F54" s="49"/>
      <c r="J54" s="73" t="s">
        <v>329</v>
      </c>
      <c r="K54" s="35"/>
      <c r="L54" s="35"/>
      <c r="M54" s="35"/>
      <c r="N54" s="35"/>
      <c r="O54" s="35"/>
      <c r="P54" s="35"/>
      <c r="Q54" s="78">
        <f t="shared" si="2"/>
        <v>0</v>
      </c>
      <c r="R54" s="35"/>
    </row>
    <row r="55" spans="3:18" x14ac:dyDescent="0.3">
      <c r="C55" s="32" t="s">
        <v>198</v>
      </c>
      <c r="D55" s="33">
        <v>0.75</v>
      </c>
      <c r="E55" s="33">
        <v>6</v>
      </c>
      <c r="F55" s="49"/>
      <c r="J55" s="49" t="s">
        <v>119</v>
      </c>
      <c r="K55" s="52">
        <f>SUM(K44:K54)</f>
        <v>6389.75</v>
      </c>
      <c r="L55" s="52">
        <f>SUM(L44:L54)</f>
        <v>2077.09</v>
      </c>
      <c r="M55" s="52">
        <f>SUM(M44:M54)</f>
        <v>320</v>
      </c>
      <c r="N55" s="52"/>
      <c r="O55" s="52">
        <f>SUM(O44:O54)</f>
        <v>181.59</v>
      </c>
      <c r="P55" s="52">
        <f>SUM(P44:P54)</f>
        <v>1634.19</v>
      </c>
      <c r="Q55" s="60">
        <f>SUM(Q44:Q54)</f>
        <v>2249.15</v>
      </c>
      <c r="R55" s="60">
        <f>SUM(R44:R54)</f>
        <v>3023.46</v>
      </c>
    </row>
    <row r="56" spans="3:18" x14ac:dyDescent="0.3">
      <c r="C56" s="32" t="s">
        <v>199</v>
      </c>
      <c r="D56" s="33">
        <v>8</v>
      </c>
      <c r="E56" s="33"/>
      <c r="F56" s="49"/>
      <c r="J56" s="76"/>
      <c r="L56" s="36"/>
      <c r="M56" s="36"/>
      <c r="N56" s="36"/>
      <c r="O56" s="36"/>
      <c r="P56" s="36"/>
      <c r="Q56" s="36"/>
      <c r="R56" s="76"/>
    </row>
    <row r="57" spans="3:18" x14ac:dyDescent="0.3">
      <c r="C57" s="32" t="s">
        <v>161</v>
      </c>
      <c r="D57" s="33">
        <v>2.5</v>
      </c>
      <c r="E57" s="33"/>
      <c r="F57" s="49"/>
      <c r="L57" s="10"/>
      <c r="M57" s="10"/>
      <c r="N57" s="10"/>
      <c r="O57" s="10"/>
      <c r="P57" s="10"/>
    </row>
    <row r="58" spans="3:18" x14ac:dyDescent="0.3">
      <c r="C58" s="32" t="s">
        <v>200</v>
      </c>
      <c r="D58" s="33">
        <v>20</v>
      </c>
      <c r="E58" s="34">
        <f>SUM(E3:E55)</f>
        <v>303</v>
      </c>
      <c r="F58" s="49"/>
      <c r="J58" s="26"/>
      <c r="K58" s="26"/>
      <c r="L58" s="26"/>
      <c r="N58" s="10"/>
      <c r="O58" s="10"/>
      <c r="P58" s="10"/>
    </row>
    <row r="59" spans="3:18" x14ac:dyDescent="0.3">
      <c r="C59" s="32" t="s">
        <v>201</v>
      </c>
      <c r="D59" s="33">
        <v>4</v>
      </c>
      <c r="E59" s="33"/>
      <c r="F59" s="49"/>
    </row>
    <row r="60" spans="3:18" x14ac:dyDescent="0.3">
      <c r="C60" s="32" t="s">
        <v>193</v>
      </c>
      <c r="D60" s="33">
        <v>4.5</v>
      </c>
      <c r="E60" s="33"/>
      <c r="F60" s="49"/>
    </row>
    <row r="61" spans="3:18" x14ac:dyDescent="0.3">
      <c r="C61" s="32" t="s">
        <v>196</v>
      </c>
      <c r="D61" s="33">
        <v>2.5</v>
      </c>
      <c r="E61" s="33"/>
      <c r="F61" s="49"/>
      <c r="K61" s="10"/>
      <c r="M61" s="10"/>
    </row>
    <row r="62" spans="3:18" x14ac:dyDescent="0.3">
      <c r="C62" s="32" t="s">
        <v>202</v>
      </c>
      <c r="D62" s="33">
        <v>5</v>
      </c>
      <c r="E62" s="33"/>
      <c r="F62" s="49"/>
    </row>
    <row r="63" spans="3:18" x14ac:dyDescent="0.3">
      <c r="C63" s="32" t="s">
        <v>203</v>
      </c>
      <c r="D63" s="33">
        <v>1</v>
      </c>
      <c r="E63" s="33"/>
      <c r="F63" s="49"/>
    </row>
    <row r="64" spans="3:18" x14ac:dyDescent="0.3">
      <c r="C64" s="32" t="s">
        <v>204</v>
      </c>
      <c r="D64" s="33">
        <v>1</v>
      </c>
      <c r="E64" s="33"/>
      <c r="F64" s="49"/>
    </row>
    <row r="65" spans="3:6" x14ac:dyDescent="0.3">
      <c r="C65" s="32" t="s">
        <v>205</v>
      </c>
      <c r="D65" s="33">
        <v>13</v>
      </c>
      <c r="E65" s="33"/>
      <c r="F65" s="49"/>
    </row>
    <row r="66" spans="3:6" x14ac:dyDescent="0.3">
      <c r="C66" s="32" t="s">
        <v>206</v>
      </c>
      <c r="D66" s="33">
        <v>3.5</v>
      </c>
      <c r="E66" s="33"/>
      <c r="F66" s="49"/>
    </row>
    <row r="67" spans="3:6" x14ac:dyDescent="0.3">
      <c r="C67" s="32" t="s">
        <v>207</v>
      </c>
      <c r="D67" s="33">
        <v>6</v>
      </c>
      <c r="E67" s="33"/>
      <c r="F67" s="49"/>
    </row>
    <row r="68" spans="3:6" x14ac:dyDescent="0.3">
      <c r="C68" s="32" t="s">
        <v>208</v>
      </c>
      <c r="D68" s="33">
        <v>1</v>
      </c>
      <c r="E68" s="33"/>
      <c r="F68" s="49"/>
    </row>
    <row r="69" spans="3:6" x14ac:dyDescent="0.3">
      <c r="C69" s="32" t="s">
        <v>204</v>
      </c>
      <c r="D69" s="33">
        <v>1</v>
      </c>
      <c r="E69" s="33"/>
      <c r="F69" s="49"/>
    </row>
    <row r="70" spans="3:6" x14ac:dyDescent="0.3">
      <c r="C70" s="32" t="s">
        <v>155</v>
      </c>
      <c r="D70" s="33">
        <v>2</v>
      </c>
      <c r="E70" s="33"/>
      <c r="F70" s="49"/>
    </row>
    <row r="71" spans="3:6" x14ac:dyDescent="0.3">
      <c r="C71" s="32" t="s">
        <v>170</v>
      </c>
      <c r="D71" s="33">
        <v>6</v>
      </c>
      <c r="E71" s="33"/>
      <c r="F71" s="49"/>
    </row>
    <row r="72" spans="3:6" x14ac:dyDescent="0.3">
      <c r="C72" s="32" t="s">
        <v>209</v>
      </c>
      <c r="D72" s="33">
        <v>2</v>
      </c>
      <c r="E72" s="33"/>
      <c r="F72" s="49"/>
    </row>
    <row r="73" spans="3:6" x14ac:dyDescent="0.3">
      <c r="C73" s="32" t="s">
        <v>203</v>
      </c>
      <c r="D73" s="33">
        <v>1</v>
      </c>
      <c r="E73" s="33"/>
      <c r="F73" s="49"/>
    </row>
    <row r="74" spans="3:6" x14ac:dyDescent="0.3">
      <c r="C74" s="32" t="s">
        <v>210</v>
      </c>
      <c r="D74" s="33">
        <v>6</v>
      </c>
      <c r="E74" s="33"/>
      <c r="F74" s="49"/>
    </row>
    <row r="75" spans="3:6" x14ac:dyDescent="0.3">
      <c r="C75" s="32" t="s">
        <v>211</v>
      </c>
      <c r="D75" s="33">
        <v>0.5</v>
      </c>
      <c r="E75" s="33"/>
      <c r="F75" s="49"/>
    </row>
    <row r="76" spans="3:6" x14ac:dyDescent="0.3">
      <c r="C76" s="32" t="s">
        <v>212</v>
      </c>
      <c r="D76" s="33">
        <v>8</v>
      </c>
      <c r="E76" s="33"/>
      <c r="F76" s="49"/>
    </row>
    <row r="77" spans="3:6" x14ac:dyDescent="0.3">
      <c r="C77" s="32" t="s">
        <v>213</v>
      </c>
      <c r="D77" s="33">
        <v>1</v>
      </c>
      <c r="E77" s="33"/>
      <c r="F77" s="49"/>
    </row>
    <row r="78" spans="3:6" x14ac:dyDescent="0.3">
      <c r="C78" s="32" t="s">
        <v>214</v>
      </c>
      <c r="D78" s="33">
        <v>0.5</v>
      </c>
      <c r="E78" s="33"/>
      <c r="F78" s="49"/>
    </row>
    <row r="79" spans="3:6" x14ac:dyDescent="0.3">
      <c r="C79" s="32" t="s">
        <v>199</v>
      </c>
      <c r="D79" s="33">
        <v>8</v>
      </c>
      <c r="E79" s="33"/>
      <c r="F79" s="49"/>
    </row>
    <row r="80" spans="3:6" x14ac:dyDescent="0.3">
      <c r="C80" s="32" t="s">
        <v>186</v>
      </c>
      <c r="D80" s="33">
        <v>4.5</v>
      </c>
      <c r="E80" s="33"/>
      <c r="F80" s="49"/>
    </row>
    <row r="81" spans="3:6" x14ac:dyDescent="0.3">
      <c r="C81" s="32" t="s">
        <v>215</v>
      </c>
      <c r="D81" s="33">
        <v>1</v>
      </c>
      <c r="E81" s="33"/>
      <c r="F81" s="49"/>
    </row>
    <row r="82" spans="3:6" x14ac:dyDescent="0.3">
      <c r="C82" s="32" t="s">
        <v>172</v>
      </c>
      <c r="D82" s="33">
        <v>2</v>
      </c>
      <c r="E82" s="33"/>
      <c r="F82" s="49"/>
    </row>
    <row r="83" spans="3:6" x14ac:dyDescent="0.3">
      <c r="C83" s="32" t="s">
        <v>174</v>
      </c>
      <c r="D83" s="33">
        <v>1</v>
      </c>
      <c r="E83" s="33"/>
      <c r="F83" s="49"/>
    </row>
    <row r="84" spans="3:6" x14ac:dyDescent="0.3">
      <c r="C84" s="32" t="s">
        <v>216</v>
      </c>
      <c r="D84" s="33">
        <v>0.75</v>
      </c>
      <c r="E84" s="33"/>
      <c r="F84" s="49"/>
    </row>
    <row r="85" spans="3:6" x14ac:dyDescent="0.3">
      <c r="C85" s="32" t="s">
        <v>186</v>
      </c>
      <c r="D85" s="33">
        <v>4.5</v>
      </c>
      <c r="E85" s="33"/>
      <c r="F85" s="49"/>
    </row>
    <row r="86" spans="3:6" x14ac:dyDescent="0.3">
      <c r="C86" s="32" t="s">
        <v>198</v>
      </c>
      <c r="D86" s="33">
        <v>0.5</v>
      </c>
      <c r="E86" s="33"/>
      <c r="F86" s="49"/>
    </row>
    <row r="87" spans="3:6" x14ac:dyDescent="0.3">
      <c r="C87" s="32" t="s">
        <v>217</v>
      </c>
      <c r="D87" s="33">
        <v>10</v>
      </c>
      <c r="E87" s="33"/>
      <c r="F87" s="49"/>
    </row>
    <row r="88" spans="3:6" x14ac:dyDescent="0.3">
      <c r="C88" s="32" t="s">
        <v>169</v>
      </c>
      <c r="D88" s="33">
        <v>2</v>
      </c>
      <c r="E88" s="33"/>
      <c r="F88" s="49"/>
    </row>
    <row r="89" spans="3:6" x14ac:dyDescent="0.3">
      <c r="C89" s="32" t="s">
        <v>161</v>
      </c>
      <c r="D89" s="33">
        <v>2</v>
      </c>
      <c r="E89" s="33"/>
      <c r="F89" s="49"/>
    </row>
    <row r="90" spans="3:6" x14ac:dyDescent="0.3">
      <c r="C90" s="32" t="s">
        <v>184</v>
      </c>
      <c r="D90" s="33">
        <v>1</v>
      </c>
      <c r="E90" s="33"/>
      <c r="F90" s="49"/>
    </row>
    <row r="91" spans="3:6" x14ac:dyDescent="0.3">
      <c r="C91" s="50" t="s">
        <v>218</v>
      </c>
      <c r="D91" s="51">
        <v>3</v>
      </c>
      <c r="E91" s="33"/>
      <c r="F91" s="49"/>
    </row>
    <row r="92" spans="3:6" x14ac:dyDescent="0.3">
      <c r="C92" s="32" t="s">
        <v>219</v>
      </c>
      <c r="D92" s="33">
        <v>0</v>
      </c>
      <c r="E92" s="33"/>
      <c r="F92" s="49"/>
    </row>
    <row r="93" spans="3:6" x14ac:dyDescent="0.3">
      <c r="C93" s="32" t="s">
        <v>186</v>
      </c>
      <c r="D93" s="33">
        <v>4.5</v>
      </c>
      <c r="E93" s="33"/>
      <c r="F93" s="49"/>
    </row>
    <row r="94" spans="3:6" x14ac:dyDescent="0.3">
      <c r="C94" s="32" t="s">
        <v>220</v>
      </c>
      <c r="D94" s="33">
        <v>3</v>
      </c>
      <c r="E94" s="33"/>
      <c r="F94" s="49"/>
    </row>
    <row r="95" spans="3:6" x14ac:dyDescent="0.3">
      <c r="C95" s="32" t="s">
        <v>186</v>
      </c>
      <c r="D95" s="33">
        <v>4.5</v>
      </c>
      <c r="E95" s="33"/>
      <c r="F95" s="49"/>
    </row>
    <row r="96" spans="3:6" x14ac:dyDescent="0.3">
      <c r="C96" s="32" t="s">
        <v>221</v>
      </c>
      <c r="D96" s="33">
        <v>1.5</v>
      </c>
      <c r="E96" s="33"/>
      <c r="F96" s="49"/>
    </row>
    <row r="97" spans="3:6" x14ac:dyDescent="0.3">
      <c r="C97" s="32" t="s">
        <v>186</v>
      </c>
      <c r="D97" s="33">
        <v>4.5</v>
      </c>
      <c r="E97" s="33"/>
      <c r="F97" s="49"/>
    </row>
    <row r="98" spans="3:6" x14ac:dyDescent="0.3">
      <c r="C98" s="32" t="s">
        <v>222</v>
      </c>
      <c r="D98" s="33">
        <v>4</v>
      </c>
      <c r="E98" s="33"/>
      <c r="F98" s="49"/>
    </row>
    <row r="99" spans="3:6" x14ac:dyDescent="0.3">
      <c r="C99" s="32" t="s">
        <v>223</v>
      </c>
      <c r="D99" s="33">
        <v>4</v>
      </c>
      <c r="E99" s="33"/>
      <c r="F99" s="49"/>
    </row>
    <row r="100" spans="3:6" x14ac:dyDescent="0.3">
      <c r="C100" s="32" t="s">
        <v>224</v>
      </c>
      <c r="D100" s="33">
        <v>3</v>
      </c>
      <c r="E100" s="33"/>
      <c r="F100" s="49"/>
    </row>
    <row r="101" spans="3:6" x14ac:dyDescent="0.3">
      <c r="C101" s="32" t="s">
        <v>225</v>
      </c>
      <c r="D101" s="33">
        <v>4</v>
      </c>
      <c r="E101" s="33"/>
      <c r="F101" s="49"/>
    </row>
    <row r="102" spans="3:6" x14ac:dyDescent="0.3">
      <c r="C102" s="32" t="s">
        <v>222</v>
      </c>
      <c r="D102" s="33">
        <v>4</v>
      </c>
      <c r="E102" s="33"/>
      <c r="F102" s="49"/>
    </row>
    <row r="103" spans="3:6" x14ac:dyDescent="0.3">
      <c r="C103" s="32" t="s">
        <v>226</v>
      </c>
      <c r="D103" s="33">
        <v>2.5</v>
      </c>
      <c r="E103" s="33"/>
      <c r="F103" s="49"/>
    </row>
    <row r="104" spans="3:6" x14ac:dyDescent="0.3">
      <c r="C104" s="32" t="s">
        <v>227</v>
      </c>
      <c r="D104" s="33">
        <v>2</v>
      </c>
      <c r="E104" s="33"/>
      <c r="F104" s="49"/>
    </row>
    <row r="105" spans="3:6" x14ac:dyDescent="0.3">
      <c r="C105" s="32" t="s">
        <v>228</v>
      </c>
      <c r="D105" s="33">
        <v>8</v>
      </c>
      <c r="E105" s="33"/>
      <c r="F105" s="49"/>
    </row>
    <row r="106" spans="3:6" x14ac:dyDescent="0.3">
      <c r="C106" s="32" t="s">
        <v>229</v>
      </c>
      <c r="D106" s="33">
        <v>6</v>
      </c>
      <c r="E106" s="33"/>
      <c r="F106" s="49"/>
    </row>
    <row r="107" spans="3:6" x14ac:dyDescent="0.3">
      <c r="C107" s="32" t="s">
        <v>230</v>
      </c>
      <c r="D107" s="33">
        <v>2.5</v>
      </c>
      <c r="E107" s="33"/>
      <c r="F107" s="49"/>
    </row>
    <row r="108" spans="3:6" x14ac:dyDescent="0.3">
      <c r="C108" s="32" t="s">
        <v>231</v>
      </c>
      <c r="D108" s="33">
        <v>2</v>
      </c>
      <c r="E108" s="33"/>
      <c r="F108" s="49"/>
    </row>
    <row r="109" spans="3:6" x14ac:dyDescent="0.3">
      <c r="C109" s="32" t="s">
        <v>232</v>
      </c>
      <c r="D109" s="33">
        <v>2</v>
      </c>
      <c r="E109" s="33"/>
      <c r="F109" s="49"/>
    </row>
    <row r="110" spans="3:6" x14ac:dyDescent="0.3">
      <c r="C110" s="32" t="s">
        <v>233</v>
      </c>
      <c r="D110" s="33">
        <v>3.5</v>
      </c>
      <c r="E110" s="33"/>
      <c r="F110" s="49"/>
    </row>
    <row r="111" spans="3:6" x14ac:dyDescent="0.3">
      <c r="C111" s="32" t="s">
        <v>234</v>
      </c>
      <c r="D111" s="33">
        <v>5</v>
      </c>
      <c r="E111" s="33"/>
      <c r="F111" s="49"/>
    </row>
    <row r="112" spans="3:6" x14ac:dyDescent="0.3">
      <c r="C112" s="32" t="s">
        <v>235</v>
      </c>
      <c r="D112" s="33">
        <v>2.5</v>
      </c>
      <c r="E112" s="33"/>
      <c r="F112" s="49"/>
    </row>
    <row r="113" spans="3:6" x14ac:dyDescent="0.3">
      <c r="C113" s="32" t="s">
        <v>236</v>
      </c>
      <c r="D113" s="33">
        <v>10</v>
      </c>
      <c r="E113" s="33"/>
      <c r="F113" s="49"/>
    </row>
    <row r="114" spans="3:6" x14ac:dyDescent="0.3">
      <c r="C114" s="32" t="s">
        <v>237</v>
      </c>
      <c r="D114" s="33">
        <v>7.5</v>
      </c>
      <c r="E114" s="33"/>
      <c r="F114" s="49"/>
    </row>
    <row r="115" spans="3:6" x14ac:dyDescent="0.3">
      <c r="C115" s="32" t="s">
        <v>238</v>
      </c>
      <c r="D115" s="33">
        <v>3</v>
      </c>
      <c r="E115" s="33"/>
      <c r="F115" s="49"/>
    </row>
    <row r="116" spans="3:6" x14ac:dyDescent="0.3">
      <c r="C116" s="32" t="s">
        <v>239</v>
      </c>
      <c r="D116" s="33">
        <v>3</v>
      </c>
      <c r="E116" s="33"/>
      <c r="F116" s="49"/>
    </row>
    <row r="117" spans="3:6" x14ac:dyDescent="0.3">
      <c r="C117" s="32" t="s">
        <v>225</v>
      </c>
      <c r="D117" s="33">
        <v>4</v>
      </c>
      <c r="E117" s="33"/>
      <c r="F117" s="49"/>
    </row>
    <row r="118" spans="3:6" x14ac:dyDescent="0.3">
      <c r="C118" s="32" t="s">
        <v>240</v>
      </c>
      <c r="D118" s="33">
        <v>1</v>
      </c>
      <c r="E118" s="33"/>
      <c r="F118" s="49"/>
    </row>
    <row r="119" spans="3:6" x14ac:dyDescent="0.3">
      <c r="C119" s="32" t="s">
        <v>241</v>
      </c>
      <c r="D119" s="33">
        <v>0.25</v>
      </c>
      <c r="E119" s="33"/>
      <c r="F119" s="49"/>
    </row>
    <row r="120" spans="3:6" x14ac:dyDescent="0.3">
      <c r="C120" s="32" t="s">
        <v>242</v>
      </c>
      <c r="D120" s="33">
        <v>2</v>
      </c>
      <c r="E120" s="33"/>
      <c r="F120" s="49"/>
    </row>
    <row r="121" spans="3:6" x14ac:dyDescent="0.3">
      <c r="C121" s="32" t="s">
        <v>161</v>
      </c>
      <c r="D121" s="33">
        <v>2</v>
      </c>
      <c r="E121" s="33"/>
      <c r="F121" s="49"/>
    </row>
    <row r="122" spans="3:6" x14ac:dyDescent="0.3">
      <c r="C122" s="32" t="s">
        <v>243</v>
      </c>
      <c r="D122" s="33">
        <v>2</v>
      </c>
      <c r="E122" s="33"/>
      <c r="F122" s="49"/>
    </row>
    <row r="123" spans="3:6" x14ac:dyDescent="0.3">
      <c r="C123" s="32" t="s">
        <v>244</v>
      </c>
      <c r="D123" s="33">
        <v>30</v>
      </c>
      <c r="E123" s="33"/>
      <c r="F123" s="49"/>
    </row>
    <row r="124" spans="3:6" x14ac:dyDescent="0.3">
      <c r="C124" s="32" t="s">
        <v>245</v>
      </c>
      <c r="D124" s="33">
        <v>5</v>
      </c>
      <c r="E124" s="33"/>
      <c r="F124" s="49"/>
    </row>
    <row r="125" spans="3:6" x14ac:dyDescent="0.3">
      <c r="C125" s="32" t="s">
        <v>201</v>
      </c>
      <c r="D125" s="33">
        <v>2.5</v>
      </c>
      <c r="E125" s="33"/>
      <c r="F125" s="49"/>
    </row>
    <row r="126" spans="3:6" x14ac:dyDescent="0.3">
      <c r="C126" s="32" t="s">
        <v>155</v>
      </c>
      <c r="D126" s="33">
        <v>2</v>
      </c>
      <c r="E126" s="33"/>
      <c r="F126" s="49"/>
    </row>
    <row r="127" spans="3:6" x14ac:dyDescent="0.3">
      <c r="C127" s="32" t="s">
        <v>246</v>
      </c>
      <c r="D127" s="33">
        <v>1.5</v>
      </c>
      <c r="E127" s="33"/>
      <c r="F127" s="49"/>
    </row>
    <row r="128" spans="3:6" x14ac:dyDescent="0.3">
      <c r="C128" s="32" t="s">
        <v>247</v>
      </c>
      <c r="D128" s="33">
        <v>1.5</v>
      </c>
      <c r="E128" s="33"/>
      <c r="F128" s="49"/>
    </row>
    <row r="129" spans="3:6" x14ac:dyDescent="0.3">
      <c r="C129" s="32" t="s">
        <v>248</v>
      </c>
      <c r="D129" s="33">
        <v>4</v>
      </c>
      <c r="E129" s="33"/>
      <c r="F129" s="49"/>
    </row>
    <row r="130" spans="3:6" x14ac:dyDescent="0.3">
      <c r="C130" s="32" t="s">
        <v>249</v>
      </c>
      <c r="D130" s="33">
        <v>6</v>
      </c>
      <c r="E130" s="33"/>
      <c r="F130" s="49"/>
    </row>
    <row r="131" spans="3:6" x14ac:dyDescent="0.3">
      <c r="C131" s="32" t="s">
        <v>186</v>
      </c>
      <c r="D131" s="33">
        <v>4.5</v>
      </c>
      <c r="E131" s="33"/>
      <c r="F131" s="49"/>
    </row>
    <row r="132" spans="3:6" x14ac:dyDescent="0.3">
      <c r="C132" s="32" t="s">
        <v>250</v>
      </c>
      <c r="D132" s="33">
        <v>4.5</v>
      </c>
      <c r="E132" s="33"/>
      <c r="F132" s="49"/>
    </row>
    <row r="133" spans="3:6" x14ac:dyDescent="0.3">
      <c r="C133" s="32" t="s">
        <v>251</v>
      </c>
      <c r="D133" s="33">
        <v>2</v>
      </c>
      <c r="E133" s="33"/>
      <c r="F133" s="49"/>
    </row>
    <row r="134" spans="3:6" x14ac:dyDescent="0.3">
      <c r="C134" s="32" t="s">
        <v>208</v>
      </c>
      <c r="D134" s="33">
        <v>0.25</v>
      </c>
      <c r="E134" s="33"/>
      <c r="F134" s="49"/>
    </row>
    <row r="135" spans="3:6" x14ac:dyDescent="0.3">
      <c r="C135" s="32" t="s">
        <v>249</v>
      </c>
      <c r="D135" s="33">
        <v>6</v>
      </c>
      <c r="E135" s="33"/>
      <c r="F135" s="49"/>
    </row>
    <row r="136" spans="3:6" x14ac:dyDescent="0.3">
      <c r="C136" s="32" t="s">
        <v>252</v>
      </c>
      <c r="D136" s="33">
        <v>0.5</v>
      </c>
      <c r="E136" s="33"/>
      <c r="F136" s="49"/>
    </row>
    <row r="137" spans="3:6" x14ac:dyDescent="0.3">
      <c r="C137" s="32" t="s">
        <v>253</v>
      </c>
      <c r="D137" s="33">
        <v>2.5</v>
      </c>
      <c r="E137" s="33"/>
      <c r="F137" s="49"/>
    </row>
    <row r="138" spans="3:6" x14ac:dyDescent="0.3">
      <c r="C138" s="32" t="s">
        <v>254</v>
      </c>
      <c r="D138" s="33">
        <v>2</v>
      </c>
      <c r="E138" s="33"/>
      <c r="F138" s="49"/>
    </row>
    <row r="139" spans="3:6" x14ac:dyDescent="0.3">
      <c r="C139" s="32" t="s">
        <v>255</v>
      </c>
      <c r="D139" s="33">
        <v>0.5</v>
      </c>
      <c r="E139" s="33"/>
      <c r="F139" s="49"/>
    </row>
    <row r="140" spans="3:6" x14ac:dyDescent="0.3">
      <c r="C140" s="32" t="s">
        <v>256</v>
      </c>
      <c r="D140" s="33">
        <v>2.5</v>
      </c>
      <c r="E140" s="33"/>
      <c r="F140" s="49"/>
    </row>
    <row r="141" spans="3:6" x14ac:dyDescent="0.3">
      <c r="C141" s="32" t="s">
        <v>212</v>
      </c>
      <c r="D141" s="33">
        <v>5</v>
      </c>
      <c r="E141" s="33"/>
      <c r="F141" s="49"/>
    </row>
    <row r="142" spans="3:6" x14ac:dyDescent="0.3">
      <c r="C142" s="32" t="s">
        <v>227</v>
      </c>
      <c r="D142" s="33">
        <v>2</v>
      </c>
      <c r="E142" s="33"/>
      <c r="F142" s="49"/>
    </row>
    <row r="143" spans="3:6" x14ac:dyDescent="0.3">
      <c r="C143" s="32" t="s">
        <v>199</v>
      </c>
      <c r="D143" s="33">
        <v>8</v>
      </c>
      <c r="E143" s="33"/>
      <c r="F143" s="49"/>
    </row>
    <row r="144" spans="3:6" x14ac:dyDescent="0.3">
      <c r="C144" s="32" t="s">
        <v>222</v>
      </c>
      <c r="D144" s="33">
        <v>4</v>
      </c>
      <c r="E144" s="33"/>
      <c r="F144" s="49"/>
    </row>
    <row r="145" spans="3:6" x14ac:dyDescent="0.3">
      <c r="C145" s="32" t="s">
        <v>248</v>
      </c>
      <c r="D145" s="33">
        <v>4</v>
      </c>
      <c r="E145" s="33"/>
      <c r="F145" s="49"/>
    </row>
    <row r="146" spans="3:6" x14ac:dyDescent="0.3">
      <c r="C146" s="32" t="s">
        <v>257</v>
      </c>
      <c r="D146" s="33">
        <v>5</v>
      </c>
      <c r="E146" s="33"/>
      <c r="F146" s="49"/>
    </row>
    <row r="147" spans="3:6" x14ac:dyDescent="0.3">
      <c r="C147" s="32" t="s">
        <v>258</v>
      </c>
      <c r="D147" s="33">
        <v>5</v>
      </c>
      <c r="E147" s="33"/>
      <c r="F147" s="49"/>
    </row>
    <row r="148" spans="3:6" x14ac:dyDescent="0.3">
      <c r="C148" s="32" t="s">
        <v>259</v>
      </c>
      <c r="D148" s="33">
        <v>1</v>
      </c>
      <c r="E148" s="33"/>
      <c r="F148" s="49"/>
    </row>
    <row r="149" spans="3:6" x14ac:dyDescent="0.3">
      <c r="C149" s="32" t="s">
        <v>260</v>
      </c>
      <c r="D149" s="33">
        <v>3</v>
      </c>
      <c r="E149" s="33"/>
      <c r="F149" s="49"/>
    </row>
    <row r="150" spans="3:6" x14ac:dyDescent="0.3">
      <c r="C150" s="32" t="s">
        <v>250</v>
      </c>
      <c r="D150" s="33">
        <v>3.5</v>
      </c>
      <c r="E150" s="33"/>
      <c r="F150" s="49"/>
    </row>
    <row r="151" spans="3:6" x14ac:dyDescent="0.3">
      <c r="C151" s="32" t="s">
        <v>219</v>
      </c>
      <c r="D151" s="33">
        <v>4</v>
      </c>
      <c r="E151" s="33"/>
      <c r="F151" s="49"/>
    </row>
    <row r="152" spans="3:6" x14ac:dyDescent="0.3">
      <c r="C152" s="32" t="s">
        <v>222</v>
      </c>
      <c r="D152" s="33">
        <v>4</v>
      </c>
      <c r="E152" s="33"/>
      <c r="F152" s="49"/>
    </row>
    <row r="153" spans="3:6" x14ac:dyDescent="0.3">
      <c r="C153" s="32" t="s">
        <v>210</v>
      </c>
      <c r="D153" s="33">
        <v>6</v>
      </c>
      <c r="E153" s="33"/>
      <c r="F153" s="49"/>
    </row>
    <row r="154" spans="3:6" x14ac:dyDescent="0.3">
      <c r="C154" s="32" t="s">
        <v>244</v>
      </c>
      <c r="D154" s="33">
        <v>30</v>
      </c>
      <c r="E154" s="33"/>
      <c r="F154" s="49"/>
    </row>
    <row r="155" spans="3:6" x14ac:dyDescent="0.3">
      <c r="C155" s="32" t="s">
        <v>186</v>
      </c>
      <c r="D155" s="33">
        <v>4.5</v>
      </c>
      <c r="E155" s="33"/>
      <c r="F155" s="49"/>
    </row>
    <row r="156" spans="3:6" x14ac:dyDescent="0.3">
      <c r="C156" s="32" t="s">
        <v>261</v>
      </c>
      <c r="D156" s="33">
        <v>1</v>
      </c>
      <c r="E156" s="33"/>
      <c r="F156" s="49"/>
    </row>
    <row r="157" spans="3:6" x14ac:dyDescent="0.3">
      <c r="C157" s="32" t="s">
        <v>262</v>
      </c>
      <c r="D157" s="33">
        <v>15</v>
      </c>
      <c r="E157" s="33"/>
      <c r="F157" s="49"/>
    </row>
    <row r="158" spans="3:6" x14ac:dyDescent="0.3">
      <c r="C158" s="32" t="s">
        <v>263</v>
      </c>
      <c r="D158" s="33">
        <v>6</v>
      </c>
      <c r="E158" s="33"/>
      <c r="F158" s="49"/>
    </row>
    <row r="159" spans="3:6" x14ac:dyDescent="0.3">
      <c r="C159" s="32" t="s">
        <v>264</v>
      </c>
      <c r="D159" s="33">
        <v>1</v>
      </c>
      <c r="E159" s="33"/>
      <c r="F159" s="49"/>
    </row>
    <row r="160" spans="3:6" x14ac:dyDescent="0.3">
      <c r="C160" s="32" t="s">
        <v>226</v>
      </c>
      <c r="D160" s="33">
        <v>2</v>
      </c>
      <c r="E160" s="33"/>
      <c r="F160" s="49"/>
    </row>
    <row r="161" spans="3:6" x14ac:dyDescent="0.3">
      <c r="C161" s="32" t="s">
        <v>221</v>
      </c>
      <c r="D161" s="33">
        <v>1.5</v>
      </c>
      <c r="E161" s="33"/>
      <c r="F161" s="49"/>
    </row>
    <row r="162" spans="3:6" x14ac:dyDescent="0.3">
      <c r="C162" s="32" t="s">
        <v>265</v>
      </c>
      <c r="D162" s="33">
        <v>2.5</v>
      </c>
      <c r="E162" s="33"/>
      <c r="F162" s="49"/>
    </row>
    <row r="163" spans="3:6" x14ac:dyDescent="0.3">
      <c r="C163" s="32" t="s">
        <v>252</v>
      </c>
      <c r="D163" s="33">
        <v>1</v>
      </c>
      <c r="E163" s="33"/>
      <c r="F163" s="49"/>
    </row>
    <row r="164" spans="3:6" x14ac:dyDescent="0.3">
      <c r="C164" s="32" t="s">
        <v>172</v>
      </c>
      <c r="D164" s="33">
        <v>2</v>
      </c>
      <c r="E164" s="33"/>
      <c r="F164" s="49"/>
    </row>
    <row r="165" spans="3:6" x14ac:dyDescent="0.3">
      <c r="C165" s="32" t="s">
        <v>174</v>
      </c>
      <c r="D165" s="33">
        <v>1</v>
      </c>
      <c r="E165" s="33"/>
      <c r="F165" s="49"/>
    </row>
    <row r="166" spans="3:6" x14ac:dyDescent="0.3">
      <c r="C166" s="32" t="s">
        <v>186</v>
      </c>
      <c r="D166" s="33">
        <v>4.5</v>
      </c>
      <c r="E166" s="33"/>
      <c r="F166" s="49"/>
    </row>
    <row r="167" spans="3:6" x14ac:dyDescent="0.3">
      <c r="C167" s="32" t="s">
        <v>266</v>
      </c>
      <c r="D167" s="33">
        <v>1.5</v>
      </c>
      <c r="E167" s="33"/>
      <c r="F167" s="49"/>
    </row>
    <row r="168" spans="3:6" x14ac:dyDescent="0.3">
      <c r="C168" s="32" t="s">
        <v>246</v>
      </c>
      <c r="D168" s="33">
        <v>1.5</v>
      </c>
      <c r="E168" s="33"/>
      <c r="F168" s="49"/>
    </row>
    <row r="169" spans="3:6" x14ac:dyDescent="0.3">
      <c r="C169" s="32" t="s">
        <v>155</v>
      </c>
      <c r="D169" s="33">
        <v>2.5</v>
      </c>
      <c r="E169" s="33"/>
      <c r="F169" s="49"/>
    </row>
    <row r="170" spans="3:6" x14ac:dyDescent="0.3">
      <c r="C170" s="32" t="s">
        <v>267</v>
      </c>
      <c r="D170" s="33">
        <v>3.5</v>
      </c>
      <c r="E170" s="33"/>
      <c r="F170" s="49"/>
    </row>
    <row r="171" spans="3:6" x14ac:dyDescent="0.3">
      <c r="C171" s="32" t="s">
        <v>263</v>
      </c>
      <c r="D171" s="33">
        <v>6</v>
      </c>
      <c r="E171" s="33"/>
      <c r="F171" s="49"/>
    </row>
    <row r="172" spans="3:6" x14ac:dyDescent="0.3">
      <c r="C172" s="32" t="s">
        <v>268</v>
      </c>
      <c r="D172" s="33">
        <v>2.5</v>
      </c>
      <c r="E172" s="33"/>
      <c r="F172" s="49"/>
    </row>
    <row r="173" spans="3:6" x14ac:dyDescent="0.3">
      <c r="C173" s="32" t="s">
        <v>221</v>
      </c>
      <c r="D173" s="33">
        <v>6</v>
      </c>
      <c r="E173" s="33"/>
      <c r="F173" s="49"/>
    </row>
    <row r="174" spans="3:6" x14ac:dyDescent="0.3">
      <c r="C174" s="32" t="s">
        <v>256</v>
      </c>
      <c r="D174" s="33">
        <v>2.5</v>
      </c>
      <c r="E174" s="33"/>
      <c r="F174" s="49"/>
    </row>
    <row r="175" spans="3:6" x14ac:dyDescent="0.3">
      <c r="C175" s="32" t="s">
        <v>269</v>
      </c>
      <c r="D175" s="33">
        <v>30</v>
      </c>
      <c r="E175" s="33"/>
      <c r="F175" s="49"/>
    </row>
    <row r="176" spans="3:6" x14ac:dyDescent="0.3">
      <c r="C176" s="32" t="s">
        <v>168</v>
      </c>
      <c r="D176" s="33">
        <v>2</v>
      </c>
      <c r="E176" s="33"/>
      <c r="F176" s="49"/>
    </row>
    <row r="177" spans="3:6" x14ac:dyDescent="0.3">
      <c r="C177" s="32" t="s">
        <v>270</v>
      </c>
      <c r="D177" s="33">
        <v>3.5</v>
      </c>
      <c r="E177" s="33"/>
      <c r="F177" s="49"/>
    </row>
    <row r="178" spans="3:6" x14ac:dyDescent="0.3">
      <c r="C178" s="32" t="s">
        <v>271</v>
      </c>
      <c r="D178" s="33">
        <v>2</v>
      </c>
      <c r="E178" s="33"/>
      <c r="F178" s="49"/>
    </row>
    <row r="179" spans="3:6" x14ac:dyDescent="0.3">
      <c r="C179" s="32" t="s">
        <v>272</v>
      </c>
      <c r="D179" s="33">
        <v>14</v>
      </c>
      <c r="E179" s="33"/>
      <c r="F179" s="49"/>
    </row>
    <row r="180" spans="3:6" x14ac:dyDescent="0.3">
      <c r="C180" s="32" t="s">
        <v>275</v>
      </c>
      <c r="D180" s="33">
        <v>16</v>
      </c>
      <c r="E180" s="33"/>
      <c r="F180" s="49"/>
    </row>
    <row r="181" spans="3:6" x14ac:dyDescent="0.3">
      <c r="C181" s="32" t="s">
        <v>276</v>
      </c>
      <c r="D181" s="33">
        <v>0.5</v>
      </c>
      <c r="E181" s="33"/>
      <c r="F181" s="49"/>
    </row>
    <row r="182" spans="3:6" x14ac:dyDescent="0.3">
      <c r="C182" s="32" t="s">
        <v>278</v>
      </c>
      <c r="D182" s="33">
        <v>7</v>
      </c>
      <c r="E182" s="52"/>
      <c r="F182" s="49"/>
    </row>
    <row r="183" spans="3:6" x14ac:dyDescent="0.3">
      <c r="C183" s="32" t="s">
        <v>279</v>
      </c>
      <c r="D183" s="33">
        <v>2.5</v>
      </c>
      <c r="E183" s="52"/>
      <c r="F183" s="49"/>
    </row>
    <row r="184" spans="3:6" x14ac:dyDescent="0.3">
      <c r="C184" s="32" t="s">
        <v>280</v>
      </c>
      <c r="D184" s="33">
        <v>3</v>
      </c>
      <c r="E184" s="52"/>
      <c r="F184" s="49"/>
    </row>
    <row r="186" spans="3:6" x14ac:dyDescent="0.3">
      <c r="D186" s="54">
        <f>SUM(D3:D184)</f>
        <v>777.75</v>
      </c>
    </row>
  </sheetData>
  <mergeCells count="4">
    <mergeCell ref="K8:K11"/>
    <mergeCell ref="N8:N11"/>
    <mergeCell ref="L8:L11"/>
    <mergeCell ref="C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BED4-487D-AB47-9E30-2D92F0638456}">
  <dimension ref="B3:R301"/>
  <sheetViews>
    <sheetView topLeftCell="A283" workbookViewId="0">
      <selection activeCell="E297" sqref="E297"/>
    </sheetView>
  </sheetViews>
  <sheetFormatPr baseColWidth="10" defaultRowHeight="26" x14ac:dyDescent="0.3"/>
  <cols>
    <col min="2" max="2" width="34.1640625" style="53" bestFit="1" customWidth="1"/>
    <col min="3" max="3" width="17" style="53" bestFit="1" customWidth="1"/>
    <col min="4" max="4" width="14.33203125" style="53" bestFit="1" customWidth="1"/>
    <col min="5" max="5" width="19.1640625" style="53" bestFit="1" customWidth="1"/>
    <col min="8" max="8" width="7.5" bestFit="1" customWidth="1"/>
    <col min="9" max="9" width="14.5" bestFit="1" customWidth="1"/>
    <col min="10" max="10" width="14.33203125" bestFit="1" customWidth="1"/>
    <col min="11" max="11" width="21" bestFit="1" customWidth="1"/>
    <col min="12" max="12" width="8.1640625" bestFit="1" customWidth="1"/>
  </cols>
  <sheetData>
    <row r="3" spans="2:16" x14ac:dyDescent="0.3">
      <c r="B3" s="84" t="s">
        <v>468</v>
      </c>
      <c r="C3" s="84"/>
      <c r="D3" s="84"/>
      <c r="E3" s="84"/>
    </row>
    <row r="4" spans="2:16" x14ac:dyDescent="0.3">
      <c r="B4" s="61" t="s">
        <v>342</v>
      </c>
      <c r="C4" s="61" t="s">
        <v>166</v>
      </c>
      <c r="D4" s="61" t="s">
        <v>273</v>
      </c>
      <c r="E4" s="61" t="s">
        <v>277</v>
      </c>
      <c r="H4" s="31" t="s">
        <v>315</v>
      </c>
      <c r="I4" s="31" t="s">
        <v>119</v>
      </c>
      <c r="J4" s="31">
        <v>0.1</v>
      </c>
      <c r="K4" s="31" t="s">
        <v>314</v>
      </c>
      <c r="L4" s="31">
        <v>0.1</v>
      </c>
      <c r="O4" s="10">
        <v>15</v>
      </c>
      <c r="P4" s="10">
        <f>I6-O4</f>
        <v>179.5</v>
      </c>
    </row>
    <row r="5" spans="2:16" x14ac:dyDescent="0.3">
      <c r="B5" s="49" t="s">
        <v>343</v>
      </c>
      <c r="C5" s="52">
        <v>4.5</v>
      </c>
      <c r="D5" s="52">
        <v>0.5</v>
      </c>
      <c r="E5" s="49">
        <v>90</v>
      </c>
      <c r="H5" s="32" t="s">
        <v>469</v>
      </c>
      <c r="I5" s="33">
        <v>200.75</v>
      </c>
      <c r="J5" s="33">
        <f>I5*L4</f>
        <v>20.075000000000003</v>
      </c>
      <c r="K5" s="34">
        <f>I5-J5</f>
        <v>180.67500000000001</v>
      </c>
      <c r="L5" s="33"/>
      <c r="P5" s="10">
        <f>I5-O4</f>
        <v>185.75</v>
      </c>
    </row>
    <row r="6" spans="2:16" x14ac:dyDescent="0.3">
      <c r="B6" s="49" t="s">
        <v>174</v>
      </c>
      <c r="C6" s="52">
        <v>1</v>
      </c>
      <c r="D6" s="52"/>
      <c r="E6" s="49">
        <v>112.35</v>
      </c>
      <c r="H6" s="32" t="s">
        <v>340</v>
      </c>
      <c r="I6" s="33">
        <v>194.5</v>
      </c>
      <c r="J6" s="33">
        <f>I6*L4</f>
        <v>19.450000000000003</v>
      </c>
      <c r="K6" s="33">
        <f>I6-J6</f>
        <v>175.05</v>
      </c>
      <c r="L6" s="32">
        <v>0.15</v>
      </c>
      <c r="P6" s="10">
        <f>SUM(P4:P5)</f>
        <v>365.25</v>
      </c>
    </row>
    <row r="7" spans="2:16" x14ac:dyDescent="0.3">
      <c r="B7" s="49" t="s">
        <v>201</v>
      </c>
      <c r="C7" s="52">
        <v>5</v>
      </c>
      <c r="D7" s="52">
        <v>2</v>
      </c>
      <c r="E7" s="49">
        <v>95.7</v>
      </c>
      <c r="J7" s="36">
        <f>SUM(J5:J6)</f>
        <v>39.525000000000006</v>
      </c>
      <c r="K7" s="36">
        <f>SUM(K5:K6)</f>
        <v>355.72500000000002</v>
      </c>
      <c r="L7" s="76"/>
    </row>
    <row r="8" spans="2:16" x14ac:dyDescent="0.3">
      <c r="B8" s="49" t="s">
        <v>344</v>
      </c>
      <c r="C8" s="52">
        <v>5</v>
      </c>
      <c r="D8" s="52"/>
      <c r="E8" s="49">
        <v>12</v>
      </c>
    </row>
    <row r="9" spans="2:16" x14ac:dyDescent="0.3">
      <c r="B9" s="49" t="s">
        <v>237</v>
      </c>
      <c r="C9" s="52">
        <v>5</v>
      </c>
      <c r="D9" s="52">
        <v>1</v>
      </c>
      <c r="E9" s="49">
        <v>45</v>
      </c>
      <c r="I9" s="64" t="s">
        <v>340</v>
      </c>
      <c r="J9" s="64" t="s">
        <v>469</v>
      </c>
    </row>
    <row r="10" spans="2:16" x14ac:dyDescent="0.3">
      <c r="B10" s="49" t="s">
        <v>225</v>
      </c>
      <c r="C10" s="52">
        <v>4</v>
      </c>
      <c r="D10" s="52">
        <v>1.5</v>
      </c>
      <c r="E10" s="49">
        <v>88.2</v>
      </c>
      <c r="I10" s="56">
        <v>7.5</v>
      </c>
      <c r="J10" s="56">
        <v>2.5</v>
      </c>
    </row>
    <row r="11" spans="2:16" x14ac:dyDescent="0.3">
      <c r="B11" s="49" t="s">
        <v>345</v>
      </c>
      <c r="C11" s="52">
        <v>3</v>
      </c>
      <c r="D11" s="52">
        <v>1</v>
      </c>
      <c r="E11" s="49">
        <v>2</v>
      </c>
      <c r="I11" s="56">
        <v>17.5</v>
      </c>
      <c r="J11" s="56">
        <v>3.5</v>
      </c>
    </row>
    <row r="12" spans="2:16" x14ac:dyDescent="0.3">
      <c r="B12" s="49" t="s">
        <v>263</v>
      </c>
      <c r="C12" s="52">
        <v>6</v>
      </c>
      <c r="D12" s="52"/>
      <c r="E12" s="49">
        <v>6</v>
      </c>
      <c r="I12" s="56">
        <v>15</v>
      </c>
      <c r="J12" s="56">
        <v>7.5</v>
      </c>
    </row>
    <row r="13" spans="2:16" x14ac:dyDescent="0.3">
      <c r="B13" s="49" t="s">
        <v>262</v>
      </c>
      <c r="C13" s="52">
        <v>15</v>
      </c>
      <c r="D13" s="52"/>
      <c r="E13" s="49">
        <v>2</v>
      </c>
      <c r="I13" s="56">
        <v>3.5</v>
      </c>
      <c r="J13" s="56">
        <v>8</v>
      </c>
    </row>
    <row r="14" spans="2:16" x14ac:dyDescent="0.3">
      <c r="B14" s="49" t="s">
        <v>346</v>
      </c>
      <c r="C14" s="52">
        <v>5</v>
      </c>
      <c r="D14" s="52">
        <v>7.5</v>
      </c>
      <c r="E14" s="49">
        <v>4</v>
      </c>
      <c r="I14" s="56">
        <v>8</v>
      </c>
      <c r="J14" s="56">
        <v>1</v>
      </c>
    </row>
    <row r="15" spans="2:16" x14ac:dyDescent="0.3">
      <c r="B15" s="49" t="s">
        <v>347</v>
      </c>
      <c r="C15" s="52">
        <v>2</v>
      </c>
      <c r="D15" s="52">
        <v>7.5</v>
      </c>
      <c r="E15" s="49">
        <v>5</v>
      </c>
      <c r="I15" s="56">
        <v>15</v>
      </c>
      <c r="J15" s="56">
        <v>10</v>
      </c>
    </row>
    <row r="16" spans="2:16" x14ac:dyDescent="0.3">
      <c r="B16" s="49" t="s">
        <v>348</v>
      </c>
      <c r="C16" s="52">
        <v>1</v>
      </c>
      <c r="D16" s="52"/>
      <c r="E16" s="49">
        <v>6</v>
      </c>
      <c r="I16" s="56">
        <v>20</v>
      </c>
      <c r="J16" s="56">
        <v>2</v>
      </c>
    </row>
    <row r="17" spans="2:10" x14ac:dyDescent="0.3">
      <c r="B17" s="49" t="s">
        <v>186</v>
      </c>
      <c r="C17" s="52">
        <v>4.5</v>
      </c>
      <c r="D17" s="52"/>
      <c r="E17" s="49">
        <v>78</v>
      </c>
      <c r="I17" s="56">
        <v>3</v>
      </c>
      <c r="J17" s="56">
        <v>6</v>
      </c>
    </row>
    <row r="18" spans="2:10" x14ac:dyDescent="0.3">
      <c r="B18" s="49" t="s">
        <v>343</v>
      </c>
      <c r="C18" s="52">
        <v>4.5</v>
      </c>
      <c r="D18" s="52"/>
      <c r="E18" s="49">
        <v>78</v>
      </c>
      <c r="I18" s="56">
        <v>15</v>
      </c>
      <c r="J18" s="56">
        <v>0.5</v>
      </c>
    </row>
    <row r="19" spans="2:10" x14ac:dyDescent="0.3">
      <c r="B19" s="49" t="s">
        <v>349</v>
      </c>
      <c r="C19" s="52">
        <v>6</v>
      </c>
      <c r="D19" s="52"/>
      <c r="E19" s="49">
        <v>39</v>
      </c>
      <c r="I19" s="56">
        <v>0.5</v>
      </c>
      <c r="J19" s="56">
        <v>1.5</v>
      </c>
    </row>
    <row r="20" spans="2:10" x14ac:dyDescent="0.3">
      <c r="B20" s="49" t="s">
        <v>350</v>
      </c>
      <c r="C20" s="62">
        <v>4.5</v>
      </c>
      <c r="D20" s="52"/>
      <c r="E20" s="49">
        <v>5</v>
      </c>
      <c r="I20" s="56">
        <v>4</v>
      </c>
      <c r="J20" s="56">
        <v>3</v>
      </c>
    </row>
    <row r="21" spans="2:10" x14ac:dyDescent="0.3">
      <c r="B21" s="49" t="s">
        <v>208</v>
      </c>
      <c r="C21" s="52">
        <v>1</v>
      </c>
      <c r="D21" s="52"/>
      <c r="E21" s="49">
        <v>10</v>
      </c>
      <c r="I21" s="56">
        <v>1</v>
      </c>
      <c r="J21" s="56">
        <v>4</v>
      </c>
    </row>
    <row r="22" spans="2:10" x14ac:dyDescent="0.3">
      <c r="B22" s="49" t="s">
        <v>351</v>
      </c>
      <c r="C22" s="52">
        <v>1.5</v>
      </c>
      <c r="D22" s="52"/>
      <c r="E22" s="49">
        <v>2</v>
      </c>
      <c r="I22" s="56">
        <v>15</v>
      </c>
      <c r="J22" s="56">
        <v>1</v>
      </c>
    </row>
    <row r="23" spans="2:10" x14ac:dyDescent="0.3">
      <c r="B23" s="49" t="s">
        <v>169</v>
      </c>
      <c r="C23" s="52">
        <v>1.5</v>
      </c>
      <c r="D23" s="52"/>
      <c r="E23" s="49">
        <v>48</v>
      </c>
      <c r="I23" s="56">
        <v>3.5</v>
      </c>
      <c r="J23" s="56">
        <v>2</v>
      </c>
    </row>
    <row r="24" spans="2:10" x14ac:dyDescent="0.3">
      <c r="B24" s="49" t="s">
        <v>352</v>
      </c>
      <c r="C24" s="52">
        <v>4</v>
      </c>
      <c r="D24" s="52"/>
      <c r="E24" s="49">
        <v>43</v>
      </c>
      <c r="I24" s="56">
        <v>17</v>
      </c>
      <c r="J24" s="56">
        <v>3.5</v>
      </c>
    </row>
    <row r="25" spans="2:10" x14ac:dyDescent="0.3">
      <c r="B25" s="49" t="s">
        <v>237</v>
      </c>
      <c r="C25" s="52">
        <v>2.5</v>
      </c>
      <c r="D25" s="52"/>
      <c r="E25" s="49"/>
      <c r="I25" s="56">
        <v>17</v>
      </c>
      <c r="J25" s="56">
        <v>1</v>
      </c>
    </row>
    <row r="26" spans="2:10" x14ac:dyDescent="0.3">
      <c r="B26" s="49" t="s">
        <v>345</v>
      </c>
      <c r="C26" s="52">
        <v>3</v>
      </c>
      <c r="D26" s="52"/>
      <c r="E26" s="49">
        <f>SUM(E5:E24)</f>
        <v>771.25</v>
      </c>
      <c r="I26" s="56">
        <v>5</v>
      </c>
      <c r="J26" s="56">
        <v>3</v>
      </c>
    </row>
    <row r="27" spans="2:10" x14ac:dyDescent="0.3">
      <c r="B27" s="49" t="s">
        <v>344</v>
      </c>
      <c r="C27" s="52">
        <v>3</v>
      </c>
      <c r="D27" s="52"/>
      <c r="E27" s="49"/>
      <c r="I27" s="56">
        <v>2</v>
      </c>
      <c r="J27" s="56">
        <v>1</v>
      </c>
    </row>
    <row r="28" spans="2:10" x14ac:dyDescent="0.3">
      <c r="B28" s="49" t="s">
        <v>171</v>
      </c>
      <c r="C28" s="52">
        <v>13</v>
      </c>
      <c r="D28" s="52"/>
      <c r="E28" s="49"/>
      <c r="I28" s="56">
        <v>10</v>
      </c>
      <c r="J28" s="56">
        <v>5</v>
      </c>
    </row>
    <row r="29" spans="2:10" x14ac:dyDescent="0.3">
      <c r="B29" s="49" t="s">
        <v>353</v>
      </c>
      <c r="C29" s="52">
        <v>2.5</v>
      </c>
      <c r="D29" s="52">
        <v>8</v>
      </c>
      <c r="E29" s="49"/>
      <c r="I29" s="56">
        <v>2</v>
      </c>
      <c r="J29" s="56">
        <v>1.5</v>
      </c>
    </row>
    <row r="30" spans="2:10" x14ac:dyDescent="0.3">
      <c r="B30" s="49" t="s">
        <v>161</v>
      </c>
      <c r="C30" s="52">
        <v>2</v>
      </c>
      <c r="D30" s="52"/>
      <c r="E30" s="49"/>
      <c r="I30" s="56">
        <v>5</v>
      </c>
      <c r="J30" s="56">
        <v>3</v>
      </c>
    </row>
    <row r="31" spans="2:10" x14ac:dyDescent="0.3">
      <c r="B31" s="49" t="s">
        <v>349</v>
      </c>
      <c r="C31" s="52">
        <v>6</v>
      </c>
      <c r="D31" s="52">
        <v>0.5</v>
      </c>
      <c r="E31" s="49"/>
      <c r="I31" s="56">
        <v>4</v>
      </c>
      <c r="J31" s="56">
        <v>4</v>
      </c>
    </row>
    <row r="32" spans="2:10" x14ac:dyDescent="0.3">
      <c r="B32" s="49" t="s">
        <v>354</v>
      </c>
      <c r="C32" s="52">
        <v>1.25</v>
      </c>
      <c r="D32" s="52"/>
      <c r="E32" s="49"/>
      <c r="I32" s="56">
        <v>4</v>
      </c>
      <c r="J32" s="56">
        <v>2</v>
      </c>
    </row>
    <row r="33" spans="2:18" x14ac:dyDescent="0.3">
      <c r="B33" s="49" t="s">
        <v>355</v>
      </c>
      <c r="C33" s="52">
        <v>4.5</v>
      </c>
      <c r="D33" s="52"/>
      <c r="E33" s="49"/>
      <c r="I33" s="56"/>
      <c r="J33" s="56">
        <v>1.5</v>
      </c>
    </row>
    <row r="34" spans="2:18" x14ac:dyDescent="0.3">
      <c r="B34" s="49" t="s">
        <v>351</v>
      </c>
      <c r="C34" s="52">
        <v>1</v>
      </c>
      <c r="D34" s="52">
        <v>0.5</v>
      </c>
      <c r="E34" s="49"/>
      <c r="I34" s="5"/>
      <c r="J34" s="56">
        <v>2</v>
      </c>
    </row>
    <row r="35" spans="2:18" x14ac:dyDescent="0.3">
      <c r="B35" s="49" t="s">
        <v>356</v>
      </c>
      <c r="C35" s="52">
        <v>30</v>
      </c>
      <c r="D35" s="52"/>
      <c r="E35" s="49"/>
      <c r="I35" s="56"/>
      <c r="J35" s="56">
        <v>2</v>
      </c>
    </row>
    <row r="36" spans="2:18" x14ac:dyDescent="0.3">
      <c r="B36" s="49" t="s">
        <v>357</v>
      </c>
      <c r="C36" s="52">
        <v>2</v>
      </c>
      <c r="D36" s="52"/>
      <c r="E36" s="49"/>
      <c r="I36" s="56"/>
      <c r="J36" s="56">
        <v>2</v>
      </c>
      <c r="R36" s="10"/>
    </row>
    <row r="37" spans="2:18" x14ac:dyDescent="0.3">
      <c r="B37" s="49" t="s">
        <v>161</v>
      </c>
      <c r="C37" s="52">
        <v>2.5</v>
      </c>
      <c r="D37" s="52"/>
      <c r="E37" s="49"/>
      <c r="I37" s="31"/>
      <c r="J37" s="56">
        <v>5</v>
      </c>
      <c r="N37" s="10"/>
    </row>
    <row r="38" spans="2:18" x14ac:dyDescent="0.3">
      <c r="B38" s="49" t="s">
        <v>203</v>
      </c>
      <c r="C38" s="52">
        <v>1.25</v>
      </c>
      <c r="D38" s="52"/>
      <c r="E38" s="49"/>
      <c r="I38" s="56"/>
      <c r="J38" s="56">
        <v>1</v>
      </c>
    </row>
    <row r="39" spans="2:18" x14ac:dyDescent="0.3">
      <c r="B39" s="49" t="s">
        <v>186</v>
      </c>
      <c r="C39" s="52">
        <v>4.5</v>
      </c>
      <c r="D39" s="52"/>
      <c r="E39" s="49"/>
      <c r="I39" s="56"/>
      <c r="J39" s="56">
        <v>3</v>
      </c>
    </row>
    <row r="40" spans="2:18" x14ac:dyDescent="0.3">
      <c r="B40" s="49" t="s">
        <v>358</v>
      </c>
      <c r="C40" s="52">
        <v>2</v>
      </c>
      <c r="D40" s="52"/>
      <c r="E40" s="49"/>
      <c r="I40" s="56"/>
      <c r="J40" s="56">
        <v>2.5</v>
      </c>
    </row>
    <row r="41" spans="2:18" x14ac:dyDescent="0.3">
      <c r="B41" s="49" t="s">
        <v>201</v>
      </c>
      <c r="C41" s="52">
        <v>2</v>
      </c>
      <c r="D41" s="52">
        <v>17.5</v>
      </c>
      <c r="E41" s="49"/>
      <c r="I41" s="56"/>
      <c r="J41" s="56">
        <v>1.5</v>
      </c>
    </row>
    <row r="42" spans="2:18" x14ac:dyDescent="0.3">
      <c r="B42" s="49" t="s">
        <v>359</v>
      </c>
      <c r="C42" s="52">
        <v>6</v>
      </c>
      <c r="D42" s="52"/>
      <c r="E42" s="49"/>
      <c r="I42" s="56"/>
      <c r="J42" s="56">
        <v>5.5</v>
      </c>
    </row>
    <row r="43" spans="2:18" x14ac:dyDescent="0.3">
      <c r="B43" s="49" t="s">
        <v>360</v>
      </c>
      <c r="C43" s="52">
        <v>1</v>
      </c>
      <c r="D43" s="52">
        <v>10</v>
      </c>
      <c r="E43" s="49"/>
      <c r="I43" s="56"/>
      <c r="J43" s="56">
        <v>2</v>
      </c>
    </row>
    <row r="44" spans="2:18" x14ac:dyDescent="0.3">
      <c r="B44" s="49" t="s">
        <v>361</v>
      </c>
      <c r="C44" s="52">
        <v>2</v>
      </c>
      <c r="D44" s="52"/>
      <c r="E44" s="49"/>
      <c r="I44" s="56"/>
      <c r="J44" s="56">
        <v>2.5</v>
      </c>
    </row>
    <row r="45" spans="2:18" x14ac:dyDescent="0.3">
      <c r="B45" s="49" t="s">
        <v>201</v>
      </c>
      <c r="C45" s="52">
        <v>4</v>
      </c>
      <c r="D45" s="52">
        <v>2</v>
      </c>
      <c r="E45" s="49"/>
      <c r="I45" s="56"/>
      <c r="J45" s="56">
        <v>2</v>
      </c>
    </row>
    <row r="46" spans="2:18" x14ac:dyDescent="0.3">
      <c r="B46" s="49" t="s">
        <v>349</v>
      </c>
      <c r="C46" s="52">
        <v>6</v>
      </c>
      <c r="D46" s="52"/>
      <c r="E46" s="49"/>
      <c r="I46" s="56"/>
      <c r="J46" s="56">
        <v>1.5</v>
      </c>
    </row>
    <row r="47" spans="2:18" x14ac:dyDescent="0.3">
      <c r="B47" s="49" t="s">
        <v>362</v>
      </c>
      <c r="C47" s="52">
        <v>5</v>
      </c>
      <c r="D47" s="52">
        <v>1</v>
      </c>
      <c r="E47" s="49"/>
      <c r="I47" s="56"/>
      <c r="J47" s="56">
        <v>1</v>
      </c>
    </row>
    <row r="48" spans="2:18" x14ac:dyDescent="0.3">
      <c r="B48" s="49" t="s">
        <v>161</v>
      </c>
      <c r="C48" s="52">
        <v>2</v>
      </c>
      <c r="D48" s="52">
        <v>5</v>
      </c>
      <c r="E48" s="49"/>
      <c r="I48" s="56"/>
      <c r="J48" s="56">
        <v>1.5</v>
      </c>
    </row>
    <row r="49" spans="2:10" x14ac:dyDescent="0.3">
      <c r="B49" s="49" t="s">
        <v>363</v>
      </c>
      <c r="C49" s="52">
        <v>4.5</v>
      </c>
      <c r="D49" s="52"/>
      <c r="E49" s="49"/>
      <c r="I49" s="56"/>
      <c r="J49" s="56">
        <v>3.5</v>
      </c>
    </row>
    <row r="50" spans="2:10" x14ac:dyDescent="0.3">
      <c r="B50" s="49" t="s">
        <v>364</v>
      </c>
      <c r="C50" s="52">
        <v>4.5</v>
      </c>
      <c r="D50" s="52">
        <v>0.5</v>
      </c>
      <c r="E50" s="49"/>
      <c r="I50" s="56"/>
      <c r="J50" s="56">
        <v>3</v>
      </c>
    </row>
    <row r="51" spans="2:10" x14ac:dyDescent="0.3">
      <c r="B51" s="49" t="s">
        <v>365</v>
      </c>
      <c r="C51" s="52">
        <v>30</v>
      </c>
      <c r="D51" s="52">
        <v>15</v>
      </c>
      <c r="E51" s="49"/>
      <c r="I51" s="56"/>
      <c r="J51" s="56">
        <v>4</v>
      </c>
    </row>
    <row r="52" spans="2:10" x14ac:dyDescent="0.3">
      <c r="B52" s="49" t="s">
        <v>262</v>
      </c>
      <c r="C52" s="52">
        <v>15</v>
      </c>
      <c r="D52" s="52"/>
      <c r="E52" s="49"/>
      <c r="I52" s="56"/>
      <c r="J52" s="56">
        <v>3.5</v>
      </c>
    </row>
    <row r="53" spans="2:10" x14ac:dyDescent="0.3">
      <c r="B53" s="49" t="s">
        <v>226</v>
      </c>
      <c r="C53" s="52">
        <v>2</v>
      </c>
      <c r="D53" s="52"/>
      <c r="E53" s="49"/>
      <c r="I53" s="56"/>
      <c r="J53" s="56">
        <v>15</v>
      </c>
    </row>
    <row r="54" spans="2:10" x14ac:dyDescent="0.3">
      <c r="B54" s="49" t="s">
        <v>366</v>
      </c>
      <c r="C54" s="52">
        <v>5.5</v>
      </c>
      <c r="D54" s="52"/>
      <c r="E54" s="49"/>
      <c r="I54" s="56"/>
      <c r="J54" s="56">
        <v>5</v>
      </c>
    </row>
    <row r="55" spans="2:10" x14ac:dyDescent="0.3">
      <c r="B55" s="49" t="s">
        <v>367</v>
      </c>
      <c r="C55" s="52">
        <v>4</v>
      </c>
      <c r="D55" s="52">
        <v>1.5</v>
      </c>
      <c r="E55" s="49"/>
      <c r="I55" s="56"/>
      <c r="J55" s="56">
        <v>11</v>
      </c>
    </row>
    <row r="56" spans="2:10" x14ac:dyDescent="0.3">
      <c r="B56" s="49" t="s">
        <v>367</v>
      </c>
      <c r="C56" s="52">
        <v>4</v>
      </c>
      <c r="D56" s="52">
        <v>1.5</v>
      </c>
      <c r="E56" s="49"/>
      <c r="I56" s="56"/>
      <c r="J56" s="56">
        <v>8.5</v>
      </c>
    </row>
    <row r="57" spans="2:10" x14ac:dyDescent="0.3">
      <c r="B57" s="49" t="s">
        <v>368</v>
      </c>
      <c r="C57" s="52">
        <v>1</v>
      </c>
      <c r="D57" s="52">
        <v>2</v>
      </c>
      <c r="E57" s="49"/>
      <c r="I57" s="56"/>
      <c r="J57" s="56">
        <v>3.25</v>
      </c>
    </row>
    <row r="58" spans="2:10" x14ac:dyDescent="0.3">
      <c r="B58" s="49" t="s">
        <v>262</v>
      </c>
      <c r="C58" s="52">
        <v>15</v>
      </c>
      <c r="D58" s="52"/>
      <c r="E58" s="49"/>
      <c r="I58" s="56"/>
      <c r="J58" s="56">
        <v>1</v>
      </c>
    </row>
    <row r="59" spans="2:10" x14ac:dyDescent="0.3">
      <c r="B59" s="49" t="s">
        <v>226</v>
      </c>
      <c r="C59" s="52">
        <v>2</v>
      </c>
      <c r="D59" s="52">
        <v>8</v>
      </c>
      <c r="E59" s="49"/>
      <c r="I59" s="56"/>
      <c r="J59" s="56">
        <v>10</v>
      </c>
    </row>
    <row r="60" spans="2:10" x14ac:dyDescent="0.3">
      <c r="B60" s="49" t="s">
        <v>369</v>
      </c>
      <c r="C60" s="52">
        <v>2</v>
      </c>
      <c r="D60" s="52"/>
      <c r="E60" s="49"/>
      <c r="I60" s="56"/>
      <c r="J60" s="56">
        <v>1</v>
      </c>
    </row>
    <row r="61" spans="2:10" x14ac:dyDescent="0.3">
      <c r="B61" s="49" t="s">
        <v>370</v>
      </c>
      <c r="C61" s="52">
        <v>5</v>
      </c>
      <c r="D61" s="52"/>
      <c r="E61" s="49"/>
      <c r="I61" s="56"/>
      <c r="J61" s="56">
        <v>5.5</v>
      </c>
    </row>
    <row r="62" spans="2:10" x14ac:dyDescent="0.3">
      <c r="B62" s="49" t="s">
        <v>226</v>
      </c>
      <c r="C62" s="52">
        <v>2</v>
      </c>
      <c r="D62" s="52"/>
      <c r="E62" s="49"/>
      <c r="I62" s="56"/>
      <c r="J62" s="56">
        <v>5.5</v>
      </c>
    </row>
    <row r="63" spans="2:10" x14ac:dyDescent="0.3">
      <c r="B63" s="49" t="s">
        <v>250</v>
      </c>
      <c r="C63" s="52">
        <v>7</v>
      </c>
      <c r="D63" s="52">
        <v>3</v>
      </c>
      <c r="E63" s="49"/>
      <c r="I63" s="5"/>
      <c r="J63" s="56">
        <v>4</v>
      </c>
    </row>
    <row r="64" spans="2:10" x14ac:dyDescent="0.3">
      <c r="B64" s="49" t="s">
        <v>371</v>
      </c>
      <c r="C64" s="52">
        <v>5</v>
      </c>
      <c r="D64" s="52"/>
      <c r="E64" s="49"/>
      <c r="I64" s="56"/>
      <c r="J64" s="56">
        <v>4</v>
      </c>
    </row>
    <row r="65" spans="2:11" x14ac:dyDescent="0.3">
      <c r="B65" s="49" t="s">
        <v>373</v>
      </c>
      <c r="C65" s="52">
        <v>2</v>
      </c>
      <c r="D65" s="52"/>
      <c r="E65" s="49"/>
      <c r="I65" s="65">
        <f>SUM(I10:I32)</f>
        <v>194.5</v>
      </c>
      <c r="J65" s="65">
        <f>SUM(J10:J64)</f>
        <v>200.75</v>
      </c>
      <c r="K65" s="10">
        <f>I65+J65</f>
        <v>395.25</v>
      </c>
    </row>
    <row r="66" spans="2:11" x14ac:dyDescent="0.3">
      <c r="B66" s="49" t="s">
        <v>372</v>
      </c>
      <c r="C66" s="52"/>
      <c r="D66" s="52">
        <v>4</v>
      </c>
      <c r="E66" s="49"/>
    </row>
    <row r="67" spans="2:11" x14ac:dyDescent="0.3">
      <c r="B67" s="49" t="s">
        <v>374</v>
      </c>
      <c r="C67" s="52">
        <v>2</v>
      </c>
      <c r="D67" s="52"/>
      <c r="E67" s="49"/>
      <c r="I67" s="10"/>
    </row>
    <row r="68" spans="2:11" x14ac:dyDescent="0.3">
      <c r="B68" s="49" t="s">
        <v>375</v>
      </c>
      <c r="C68" s="52"/>
      <c r="D68" s="52">
        <v>1</v>
      </c>
      <c r="E68" s="49"/>
      <c r="I68" s="10"/>
    </row>
    <row r="69" spans="2:11" x14ac:dyDescent="0.3">
      <c r="B69" s="49" t="s">
        <v>186</v>
      </c>
      <c r="C69" s="52">
        <v>4.5</v>
      </c>
      <c r="D69" s="52"/>
      <c r="E69" s="49"/>
      <c r="I69" s="10"/>
    </row>
    <row r="70" spans="2:11" x14ac:dyDescent="0.3">
      <c r="B70" s="49" t="s">
        <v>376</v>
      </c>
      <c r="C70" s="52">
        <v>1</v>
      </c>
      <c r="D70" s="52">
        <v>15</v>
      </c>
      <c r="E70" s="49"/>
      <c r="I70" s="10"/>
    </row>
    <row r="71" spans="2:11" x14ac:dyDescent="0.3">
      <c r="B71" s="49" t="s">
        <v>377</v>
      </c>
      <c r="C71" s="52">
        <v>8</v>
      </c>
      <c r="D71" s="52"/>
      <c r="E71" s="49"/>
      <c r="I71" s="10"/>
    </row>
    <row r="72" spans="2:11" x14ac:dyDescent="0.3">
      <c r="B72" s="49" t="s">
        <v>349</v>
      </c>
      <c r="C72" s="52">
        <v>6</v>
      </c>
      <c r="D72" s="52"/>
      <c r="E72" s="49"/>
      <c r="I72" s="10"/>
    </row>
    <row r="73" spans="2:11" x14ac:dyDescent="0.3">
      <c r="B73" s="49" t="s">
        <v>378</v>
      </c>
      <c r="C73" s="52"/>
      <c r="D73" s="52">
        <v>2</v>
      </c>
      <c r="E73" s="49"/>
      <c r="I73" s="10"/>
    </row>
    <row r="74" spans="2:11" x14ac:dyDescent="0.3">
      <c r="B74" s="49" t="s">
        <v>186</v>
      </c>
      <c r="C74" s="52">
        <v>4.5</v>
      </c>
      <c r="D74" s="52">
        <v>0.5</v>
      </c>
      <c r="E74" s="49"/>
      <c r="I74" s="10"/>
    </row>
    <row r="75" spans="2:11" x14ac:dyDescent="0.3">
      <c r="B75" s="49" t="s">
        <v>371</v>
      </c>
      <c r="C75" s="52">
        <v>5</v>
      </c>
      <c r="D75" s="52">
        <v>3</v>
      </c>
      <c r="E75" s="49"/>
      <c r="I75" s="10"/>
    </row>
    <row r="76" spans="2:11" x14ac:dyDescent="0.3">
      <c r="B76" s="49" t="s">
        <v>379</v>
      </c>
      <c r="C76" s="52">
        <v>3</v>
      </c>
      <c r="D76" s="52"/>
      <c r="E76" s="49"/>
      <c r="I76" s="10"/>
    </row>
    <row r="77" spans="2:11" x14ac:dyDescent="0.3">
      <c r="B77" s="49" t="s">
        <v>380</v>
      </c>
      <c r="C77" s="52">
        <v>8</v>
      </c>
      <c r="D77" s="52"/>
      <c r="E77" s="49"/>
      <c r="I77" s="10"/>
    </row>
    <row r="78" spans="2:11" x14ac:dyDescent="0.3">
      <c r="B78" s="49" t="s">
        <v>381</v>
      </c>
      <c r="C78" s="52">
        <v>2</v>
      </c>
      <c r="D78" s="52"/>
      <c r="E78" s="49"/>
      <c r="I78" s="10"/>
    </row>
    <row r="79" spans="2:11" x14ac:dyDescent="0.3">
      <c r="B79" s="49" t="s">
        <v>382</v>
      </c>
      <c r="C79" s="52">
        <v>4.5</v>
      </c>
      <c r="D79" s="52">
        <v>0.5</v>
      </c>
      <c r="E79" s="49"/>
      <c r="I79" s="10"/>
    </row>
    <row r="80" spans="2:11" x14ac:dyDescent="0.3">
      <c r="B80" s="49" t="s">
        <v>383</v>
      </c>
      <c r="C80" s="52">
        <v>5</v>
      </c>
      <c r="D80" s="52"/>
      <c r="E80" s="49"/>
      <c r="I80" s="10"/>
    </row>
    <row r="81" spans="2:9" x14ac:dyDescent="0.3">
      <c r="B81" s="49" t="s">
        <v>186</v>
      </c>
      <c r="C81" s="52">
        <v>4.5</v>
      </c>
      <c r="D81" s="52">
        <v>0.5</v>
      </c>
      <c r="E81" s="49"/>
      <c r="I81" s="10"/>
    </row>
    <row r="82" spans="2:9" x14ac:dyDescent="0.3">
      <c r="B82" s="49" t="s">
        <v>384</v>
      </c>
      <c r="C82" s="52">
        <v>2</v>
      </c>
      <c r="D82" s="52"/>
      <c r="E82" s="49"/>
      <c r="I82" s="10"/>
    </row>
    <row r="83" spans="2:9" x14ac:dyDescent="0.3">
      <c r="B83" s="49" t="s">
        <v>222</v>
      </c>
      <c r="C83" s="52">
        <v>4</v>
      </c>
      <c r="D83" s="52"/>
      <c r="E83" s="49"/>
      <c r="I83" s="10"/>
    </row>
    <row r="84" spans="2:9" x14ac:dyDescent="0.3">
      <c r="B84" s="49" t="s">
        <v>221</v>
      </c>
      <c r="C84" s="52">
        <v>1.5</v>
      </c>
      <c r="D84" s="52">
        <v>3</v>
      </c>
      <c r="E84" s="49"/>
      <c r="I84" s="10"/>
    </row>
    <row r="85" spans="2:9" x14ac:dyDescent="0.3">
      <c r="B85" s="49" t="s">
        <v>385</v>
      </c>
      <c r="C85" s="52">
        <v>5</v>
      </c>
      <c r="D85" s="52"/>
      <c r="E85" s="49"/>
      <c r="I85" s="10"/>
    </row>
    <row r="86" spans="2:9" x14ac:dyDescent="0.3">
      <c r="B86" s="49" t="s">
        <v>386</v>
      </c>
      <c r="C86" s="52">
        <v>1</v>
      </c>
      <c r="D86" s="52">
        <v>1</v>
      </c>
      <c r="E86" s="49"/>
      <c r="I86" s="10"/>
    </row>
    <row r="87" spans="2:9" x14ac:dyDescent="0.3">
      <c r="B87" s="49" t="s">
        <v>348</v>
      </c>
      <c r="C87" s="52">
        <v>1</v>
      </c>
      <c r="D87" s="52"/>
      <c r="E87" s="49"/>
      <c r="I87" s="10"/>
    </row>
    <row r="88" spans="2:9" x14ac:dyDescent="0.3">
      <c r="B88" s="49" t="s">
        <v>226</v>
      </c>
      <c r="C88" s="52">
        <v>2</v>
      </c>
      <c r="D88" s="52"/>
      <c r="E88" s="49"/>
      <c r="I88" s="10"/>
    </row>
    <row r="89" spans="2:9" x14ac:dyDescent="0.3">
      <c r="B89" s="49" t="s">
        <v>356</v>
      </c>
      <c r="C89" s="52">
        <v>35</v>
      </c>
      <c r="D89" s="52">
        <v>20</v>
      </c>
      <c r="E89" s="49"/>
      <c r="I89" s="10"/>
    </row>
    <row r="90" spans="2:9" x14ac:dyDescent="0.3">
      <c r="B90" s="49" t="s">
        <v>373</v>
      </c>
      <c r="C90" s="52">
        <v>2</v>
      </c>
      <c r="D90" s="52"/>
      <c r="E90" s="49"/>
      <c r="I90" s="10"/>
    </row>
    <row r="91" spans="2:9" x14ac:dyDescent="0.3">
      <c r="B91" s="49" t="s">
        <v>387</v>
      </c>
      <c r="C91" s="52">
        <v>17</v>
      </c>
      <c r="D91" s="52"/>
      <c r="E91" s="49"/>
      <c r="I91" s="10"/>
    </row>
    <row r="92" spans="2:9" x14ac:dyDescent="0.3">
      <c r="B92" s="49" t="s">
        <v>350</v>
      </c>
      <c r="C92" s="52">
        <v>5</v>
      </c>
      <c r="D92" s="52"/>
      <c r="E92" s="49"/>
      <c r="I92" s="10"/>
    </row>
    <row r="93" spans="2:9" x14ac:dyDescent="0.3">
      <c r="B93" s="49" t="s">
        <v>388</v>
      </c>
      <c r="C93" s="52">
        <v>1.5</v>
      </c>
      <c r="D93" s="52">
        <v>15</v>
      </c>
      <c r="E93" s="49"/>
      <c r="I93" s="10"/>
    </row>
    <row r="94" spans="2:9" x14ac:dyDescent="0.3">
      <c r="B94" s="49" t="s">
        <v>220</v>
      </c>
      <c r="C94" s="52">
        <v>4.5</v>
      </c>
      <c r="D94" s="52">
        <v>0.5</v>
      </c>
      <c r="E94" s="49"/>
      <c r="I94" s="10"/>
    </row>
    <row r="95" spans="2:9" x14ac:dyDescent="0.3">
      <c r="B95" s="49" t="s">
        <v>225</v>
      </c>
      <c r="C95" s="52">
        <v>4</v>
      </c>
      <c r="D95" s="52">
        <v>1</v>
      </c>
      <c r="E95" s="49"/>
    </row>
    <row r="96" spans="2:9" x14ac:dyDescent="0.3">
      <c r="B96" s="49" t="s">
        <v>263</v>
      </c>
      <c r="C96" s="52">
        <v>6</v>
      </c>
      <c r="D96" s="52"/>
      <c r="E96" s="49"/>
    </row>
    <row r="97" spans="2:5" x14ac:dyDescent="0.3">
      <c r="B97" s="49" t="s">
        <v>389</v>
      </c>
      <c r="C97" s="52">
        <v>3.5</v>
      </c>
      <c r="D97" s="52"/>
      <c r="E97" s="49"/>
    </row>
    <row r="98" spans="2:5" x14ac:dyDescent="0.3">
      <c r="B98" s="49" t="s">
        <v>374</v>
      </c>
      <c r="C98" s="52">
        <v>2</v>
      </c>
      <c r="D98" s="52"/>
      <c r="E98" s="49"/>
    </row>
    <row r="99" spans="2:5" x14ac:dyDescent="0.3">
      <c r="B99" s="49" t="s">
        <v>390</v>
      </c>
      <c r="C99" s="52">
        <v>2</v>
      </c>
      <c r="D99" s="52">
        <v>3</v>
      </c>
      <c r="E99" s="49"/>
    </row>
    <row r="100" spans="2:5" x14ac:dyDescent="0.3">
      <c r="B100" s="49" t="s">
        <v>208</v>
      </c>
      <c r="C100" s="52">
        <v>0.5</v>
      </c>
      <c r="D100" s="52"/>
      <c r="E100" s="49"/>
    </row>
    <row r="101" spans="2:5" x14ac:dyDescent="0.3">
      <c r="B101" s="49" t="s">
        <v>226</v>
      </c>
      <c r="C101" s="52">
        <v>2</v>
      </c>
      <c r="D101" s="52">
        <v>3</v>
      </c>
      <c r="E101" s="49"/>
    </row>
    <row r="102" spans="2:5" x14ac:dyDescent="0.3">
      <c r="B102" s="49" t="s">
        <v>221</v>
      </c>
      <c r="C102" s="52">
        <v>1.5</v>
      </c>
      <c r="D102" s="52"/>
      <c r="E102" s="49"/>
    </row>
    <row r="103" spans="2:5" x14ac:dyDescent="0.3">
      <c r="B103" s="49" t="s">
        <v>255</v>
      </c>
      <c r="C103" s="52">
        <v>2</v>
      </c>
      <c r="D103" s="52"/>
      <c r="E103" s="49"/>
    </row>
    <row r="104" spans="2:5" x14ac:dyDescent="0.3">
      <c r="B104" s="49" t="s">
        <v>362</v>
      </c>
      <c r="C104" s="52">
        <v>1</v>
      </c>
      <c r="D104" s="52"/>
      <c r="E104" s="49"/>
    </row>
    <row r="105" spans="2:5" x14ac:dyDescent="0.3">
      <c r="B105" s="49" t="s">
        <v>172</v>
      </c>
      <c r="C105" s="52">
        <v>2</v>
      </c>
      <c r="D105" s="52"/>
      <c r="E105" s="49"/>
    </row>
    <row r="106" spans="2:5" x14ac:dyDescent="0.3">
      <c r="B106" s="49" t="s">
        <v>174</v>
      </c>
      <c r="C106" s="52">
        <v>1</v>
      </c>
      <c r="D106" s="52"/>
      <c r="E106" s="49"/>
    </row>
    <row r="107" spans="2:5" x14ac:dyDescent="0.3">
      <c r="B107" s="49" t="s">
        <v>161</v>
      </c>
      <c r="C107" s="52">
        <v>2</v>
      </c>
      <c r="D107" s="52"/>
      <c r="E107" s="49"/>
    </row>
    <row r="108" spans="2:5" x14ac:dyDescent="0.3">
      <c r="B108" s="49" t="s">
        <v>391</v>
      </c>
      <c r="C108" s="52">
        <v>2</v>
      </c>
      <c r="D108" s="52"/>
      <c r="E108" s="49"/>
    </row>
    <row r="109" spans="2:5" x14ac:dyDescent="0.3">
      <c r="B109" s="49" t="s">
        <v>186</v>
      </c>
      <c r="C109" s="52">
        <v>4.5</v>
      </c>
      <c r="D109" s="52"/>
      <c r="E109" s="49"/>
    </row>
    <row r="110" spans="2:5" x14ac:dyDescent="0.3">
      <c r="B110" s="49" t="s">
        <v>392</v>
      </c>
      <c r="C110" s="52">
        <v>9.5</v>
      </c>
      <c r="D110" s="52">
        <v>4</v>
      </c>
      <c r="E110" s="49"/>
    </row>
    <row r="111" spans="2:5" x14ac:dyDescent="0.3">
      <c r="B111" s="49" t="s">
        <v>203</v>
      </c>
      <c r="C111" s="52">
        <v>0.75</v>
      </c>
      <c r="D111" s="52"/>
      <c r="E111" s="49"/>
    </row>
    <row r="112" spans="2:5" x14ac:dyDescent="0.3">
      <c r="B112" s="49" t="s">
        <v>356</v>
      </c>
      <c r="C112" s="52">
        <v>30</v>
      </c>
      <c r="D112" s="52"/>
      <c r="E112" s="49"/>
    </row>
    <row r="113" spans="2:5" x14ac:dyDescent="0.3">
      <c r="B113" s="49" t="s">
        <v>357</v>
      </c>
      <c r="C113" s="52">
        <v>2</v>
      </c>
      <c r="D113" s="52"/>
      <c r="E113" s="49"/>
    </row>
    <row r="114" spans="2:5" x14ac:dyDescent="0.3">
      <c r="B114" s="49" t="s">
        <v>169</v>
      </c>
      <c r="C114" s="52">
        <v>1.5</v>
      </c>
      <c r="D114" s="52"/>
      <c r="E114" s="49"/>
    </row>
    <row r="115" spans="2:5" x14ac:dyDescent="0.3">
      <c r="B115" s="49" t="s">
        <v>186</v>
      </c>
      <c r="C115" s="52">
        <v>4.5</v>
      </c>
      <c r="D115" s="52"/>
      <c r="E115" s="49"/>
    </row>
    <row r="116" spans="2:5" x14ac:dyDescent="0.3">
      <c r="B116" s="49" t="s">
        <v>235</v>
      </c>
      <c r="C116" s="52">
        <v>1</v>
      </c>
      <c r="D116" s="52">
        <v>15</v>
      </c>
      <c r="E116" s="49"/>
    </row>
    <row r="117" spans="2:5" x14ac:dyDescent="0.3">
      <c r="B117" s="49" t="s">
        <v>201</v>
      </c>
      <c r="C117" s="52">
        <v>3</v>
      </c>
      <c r="D117" s="52"/>
      <c r="E117" s="49"/>
    </row>
    <row r="118" spans="2:5" x14ac:dyDescent="0.3">
      <c r="B118" s="49" t="s">
        <v>171</v>
      </c>
      <c r="C118" s="52">
        <v>15</v>
      </c>
      <c r="D118" s="52">
        <v>2</v>
      </c>
      <c r="E118" s="49"/>
    </row>
    <row r="119" spans="2:5" x14ac:dyDescent="0.3">
      <c r="B119" s="49" t="s">
        <v>221</v>
      </c>
      <c r="C119" s="52">
        <v>1.5</v>
      </c>
      <c r="D119" s="52"/>
      <c r="E119" s="49"/>
    </row>
    <row r="120" spans="2:5" x14ac:dyDescent="0.3">
      <c r="B120" s="49" t="s">
        <v>393</v>
      </c>
      <c r="C120" s="52">
        <v>2.5</v>
      </c>
      <c r="D120" s="52"/>
      <c r="E120" s="49"/>
    </row>
    <row r="121" spans="2:5" x14ac:dyDescent="0.3">
      <c r="B121" s="49" t="s">
        <v>394</v>
      </c>
      <c r="C121" s="52">
        <v>3</v>
      </c>
      <c r="D121" s="52"/>
      <c r="E121" s="49"/>
    </row>
    <row r="122" spans="2:5" x14ac:dyDescent="0.3">
      <c r="B122" s="49" t="s">
        <v>395</v>
      </c>
      <c r="C122" s="52">
        <v>3</v>
      </c>
      <c r="D122" s="52"/>
      <c r="E122" s="49"/>
    </row>
    <row r="123" spans="2:5" x14ac:dyDescent="0.3">
      <c r="B123" s="49" t="s">
        <v>181</v>
      </c>
      <c r="C123" s="52">
        <v>2</v>
      </c>
      <c r="D123" s="52"/>
      <c r="E123" s="49"/>
    </row>
    <row r="124" spans="2:5" x14ac:dyDescent="0.3">
      <c r="B124" s="49" t="s">
        <v>362</v>
      </c>
      <c r="C124" s="52">
        <v>1</v>
      </c>
      <c r="D124" s="52"/>
      <c r="E124" s="49"/>
    </row>
    <row r="125" spans="2:5" x14ac:dyDescent="0.3">
      <c r="B125" s="49" t="s">
        <v>396</v>
      </c>
      <c r="C125" s="52">
        <v>4</v>
      </c>
      <c r="D125" s="52">
        <v>1.5</v>
      </c>
      <c r="E125" s="49"/>
    </row>
    <row r="126" spans="2:5" x14ac:dyDescent="0.3">
      <c r="B126" s="49" t="s">
        <v>397</v>
      </c>
      <c r="C126" s="52">
        <v>2</v>
      </c>
      <c r="D126" s="52">
        <v>2</v>
      </c>
      <c r="E126" s="49"/>
    </row>
    <row r="127" spans="2:5" x14ac:dyDescent="0.3">
      <c r="B127" s="49" t="s">
        <v>398</v>
      </c>
      <c r="C127" s="52">
        <v>1</v>
      </c>
      <c r="D127" s="52"/>
      <c r="E127" s="49"/>
    </row>
    <row r="128" spans="2:5" x14ac:dyDescent="0.3">
      <c r="B128" s="49" t="s">
        <v>378</v>
      </c>
      <c r="C128" s="52"/>
      <c r="D128" s="52">
        <v>2</v>
      </c>
      <c r="E128" s="49"/>
    </row>
    <row r="129" spans="2:5" x14ac:dyDescent="0.3">
      <c r="B129" s="49" t="s">
        <v>201</v>
      </c>
      <c r="C129" s="52">
        <v>4</v>
      </c>
      <c r="D129" s="52">
        <v>0.5</v>
      </c>
      <c r="E129" s="49"/>
    </row>
    <row r="130" spans="2:5" x14ac:dyDescent="0.3">
      <c r="B130" s="49" t="s">
        <v>399</v>
      </c>
      <c r="C130" s="52">
        <v>0.5</v>
      </c>
      <c r="D130" s="52"/>
      <c r="E130" s="49"/>
    </row>
    <row r="131" spans="2:5" x14ac:dyDescent="0.3">
      <c r="B131" s="49" t="s">
        <v>400</v>
      </c>
      <c r="C131" s="52">
        <v>5</v>
      </c>
      <c r="D131" s="52"/>
      <c r="E131" s="49"/>
    </row>
    <row r="132" spans="2:5" x14ac:dyDescent="0.3">
      <c r="B132" s="49" t="s">
        <v>401</v>
      </c>
      <c r="C132" s="52">
        <v>3.5</v>
      </c>
      <c r="D132" s="52"/>
      <c r="E132" s="49"/>
    </row>
    <row r="133" spans="2:5" x14ac:dyDescent="0.3">
      <c r="B133" s="49" t="s">
        <v>402</v>
      </c>
      <c r="C133" s="52">
        <v>4</v>
      </c>
      <c r="D133" s="52"/>
      <c r="E133" s="49"/>
    </row>
    <row r="134" spans="2:5" x14ac:dyDescent="0.3">
      <c r="B134" s="49" t="s">
        <v>398</v>
      </c>
      <c r="C134" s="52">
        <v>2</v>
      </c>
      <c r="D134" s="52"/>
      <c r="E134" s="49"/>
    </row>
    <row r="135" spans="2:5" x14ac:dyDescent="0.3">
      <c r="B135" s="49" t="s">
        <v>373</v>
      </c>
      <c r="C135" s="52">
        <v>2</v>
      </c>
      <c r="D135" s="52">
        <v>2</v>
      </c>
      <c r="E135" s="49"/>
    </row>
    <row r="136" spans="2:5" x14ac:dyDescent="0.3">
      <c r="B136" s="49" t="s">
        <v>226</v>
      </c>
      <c r="C136" s="52">
        <v>2</v>
      </c>
      <c r="D136" s="52"/>
      <c r="E136" s="49"/>
    </row>
    <row r="137" spans="2:5" x14ac:dyDescent="0.3">
      <c r="B137" s="49" t="s">
        <v>220</v>
      </c>
      <c r="C137" s="52">
        <v>2.5</v>
      </c>
      <c r="D137" s="52"/>
      <c r="E137" s="49"/>
    </row>
    <row r="138" spans="2:5" x14ac:dyDescent="0.3">
      <c r="B138" s="49" t="s">
        <v>250</v>
      </c>
      <c r="C138" s="52">
        <v>4</v>
      </c>
      <c r="D138" s="52">
        <v>5</v>
      </c>
      <c r="E138" s="49"/>
    </row>
    <row r="139" spans="2:5" x14ac:dyDescent="0.3">
      <c r="B139" s="49" t="s">
        <v>401</v>
      </c>
      <c r="C139" s="52">
        <v>3.5</v>
      </c>
      <c r="D139" s="52"/>
      <c r="E139" s="49"/>
    </row>
    <row r="140" spans="2:5" x14ac:dyDescent="0.3">
      <c r="B140" s="49" t="s">
        <v>403</v>
      </c>
      <c r="C140" s="52">
        <v>2</v>
      </c>
      <c r="D140" s="52"/>
      <c r="E140" s="49"/>
    </row>
    <row r="141" spans="2:5" x14ac:dyDescent="0.3">
      <c r="B141" s="49" t="s">
        <v>171</v>
      </c>
      <c r="C141" s="52">
        <v>13</v>
      </c>
      <c r="D141" s="52"/>
      <c r="E141" s="49"/>
    </row>
    <row r="142" spans="2:5" x14ac:dyDescent="0.3">
      <c r="B142" s="49" t="s">
        <v>239</v>
      </c>
      <c r="C142" s="52">
        <v>3</v>
      </c>
      <c r="D142" s="52">
        <v>1</v>
      </c>
      <c r="E142" s="49"/>
    </row>
    <row r="143" spans="2:5" x14ac:dyDescent="0.3">
      <c r="B143" s="49" t="s">
        <v>404</v>
      </c>
      <c r="C143" s="52">
        <v>4</v>
      </c>
      <c r="D143" s="52"/>
      <c r="E143" s="49"/>
    </row>
    <row r="144" spans="2:5" x14ac:dyDescent="0.3">
      <c r="B144" s="49" t="s">
        <v>221</v>
      </c>
      <c r="C144" s="52">
        <v>1</v>
      </c>
      <c r="D144" s="52"/>
      <c r="E144" s="49"/>
    </row>
    <row r="145" spans="2:5" x14ac:dyDescent="0.3">
      <c r="B145" s="49" t="s">
        <v>401</v>
      </c>
      <c r="C145" s="52">
        <v>3.5</v>
      </c>
      <c r="D145" s="52">
        <v>3</v>
      </c>
      <c r="E145" s="49"/>
    </row>
    <row r="146" spans="2:5" x14ac:dyDescent="0.3">
      <c r="B146" s="49" t="s">
        <v>373</v>
      </c>
      <c r="C146" s="52">
        <v>2</v>
      </c>
      <c r="D146" s="52"/>
      <c r="E146" s="49"/>
    </row>
    <row r="147" spans="2:5" x14ac:dyDescent="0.3">
      <c r="B147" s="49" t="s">
        <v>237</v>
      </c>
      <c r="C147" s="52">
        <v>5</v>
      </c>
      <c r="D147" s="52">
        <v>1</v>
      </c>
      <c r="E147" s="49"/>
    </row>
    <row r="148" spans="2:5" x14ac:dyDescent="0.3">
      <c r="B148" s="49" t="s">
        <v>239</v>
      </c>
      <c r="C148" s="52">
        <v>3</v>
      </c>
      <c r="D148" s="52"/>
      <c r="E148" s="49"/>
    </row>
    <row r="149" spans="2:5" x14ac:dyDescent="0.3">
      <c r="B149" s="49" t="s">
        <v>405</v>
      </c>
      <c r="C149" s="52">
        <v>2</v>
      </c>
      <c r="D149" s="52">
        <v>1</v>
      </c>
      <c r="E149" s="49"/>
    </row>
    <row r="150" spans="2:5" x14ac:dyDescent="0.3">
      <c r="B150" s="49" t="s">
        <v>406</v>
      </c>
      <c r="C150" s="52">
        <v>2.5</v>
      </c>
      <c r="D150" s="52">
        <v>0.5</v>
      </c>
      <c r="E150" s="49"/>
    </row>
    <row r="151" spans="2:5" x14ac:dyDescent="0.3">
      <c r="B151" s="49" t="s">
        <v>186</v>
      </c>
      <c r="C151" s="52">
        <v>4.5</v>
      </c>
      <c r="D151" s="52">
        <v>0.5</v>
      </c>
      <c r="E151" s="49"/>
    </row>
    <row r="152" spans="2:5" x14ac:dyDescent="0.3">
      <c r="B152" s="49" t="s">
        <v>222</v>
      </c>
      <c r="C152" s="52">
        <v>2.5</v>
      </c>
      <c r="D152" s="52"/>
      <c r="E152" s="49"/>
    </row>
    <row r="153" spans="2:5" x14ac:dyDescent="0.3">
      <c r="B153" s="49" t="s">
        <v>407</v>
      </c>
      <c r="C153" s="52">
        <v>3</v>
      </c>
      <c r="D153" s="52"/>
      <c r="E153" s="49"/>
    </row>
    <row r="154" spans="2:5" x14ac:dyDescent="0.3">
      <c r="B154" s="49" t="s">
        <v>408</v>
      </c>
      <c r="C154" s="52">
        <v>4</v>
      </c>
      <c r="D154" s="52">
        <v>1</v>
      </c>
      <c r="E154" s="49"/>
    </row>
    <row r="155" spans="2:5" x14ac:dyDescent="0.3">
      <c r="B155" s="49" t="s">
        <v>409</v>
      </c>
      <c r="C155" s="52">
        <v>5</v>
      </c>
      <c r="D155" s="52"/>
      <c r="E155" s="49"/>
    </row>
    <row r="156" spans="2:5" x14ac:dyDescent="0.3">
      <c r="B156" s="49" t="s">
        <v>410</v>
      </c>
      <c r="C156" s="52">
        <v>6</v>
      </c>
      <c r="D156" s="52">
        <v>2</v>
      </c>
      <c r="E156" s="49"/>
    </row>
    <row r="157" spans="2:5" x14ac:dyDescent="0.3">
      <c r="B157" s="49" t="s">
        <v>410</v>
      </c>
      <c r="C157" s="52">
        <v>3</v>
      </c>
      <c r="D157" s="52">
        <v>2</v>
      </c>
      <c r="E157" s="49"/>
    </row>
    <row r="158" spans="2:5" x14ac:dyDescent="0.3">
      <c r="B158" s="49" t="s">
        <v>411</v>
      </c>
      <c r="C158" s="52">
        <v>1</v>
      </c>
      <c r="D158" s="52"/>
      <c r="E158" s="49"/>
    </row>
    <row r="159" spans="2:5" x14ac:dyDescent="0.3">
      <c r="B159" s="49" t="s">
        <v>186</v>
      </c>
      <c r="C159" s="52">
        <v>4.5</v>
      </c>
      <c r="D159" s="52">
        <v>0.5</v>
      </c>
      <c r="E159" s="49"/>
    </row>
    <row r="160" spans="2:5" x14ac:dyDescent="0.3">
      <c r="B160" s="49" t="s">
        <v>221</v>
      </c>
      <c r="C160" s="52">
        <v>1.5</v>
      </c>
      <c r="D160" s="52"/>
      <c r="E160" s="49"/>
    </row>
    <row r="161" spans="2:5" x14ac:dyDescent="0.3">
      <c r="B161" s="49" t="s">
        <v>412</v>
      </c>
      <c r="C161" s="52">
        <v>6</v>
      </c>
      <c r="D161" s="52">
        <v>0.5</v>
      </c>
      <c r="E161" s="49"/>
    </row>
    <row r="162" spans="2:5" x14ac:dyDescent="0.3">
      <c r="B162" s="49" t="s">
        <v>413</v>
      </c>
      <c r="C162" s="52"/>
      <c r="D162" s="52">
        <v>5</v>
      </c>
      <c r="E162" s="49"/>
    </row>
    <row r="163" spans="2:5" x14ac:dyDescent="0.3">
      <c r="B163" s="49" t="s">
        <v>414</v>
      </c>
      <c r="C163" s="52">
        <v>2.5</v>
      </c>
      <c r="D163" s="52"/>
      <c r="E163" s="49"/>
    </row>
    <row r="164" spans="2:5" x14ac:dyDescent="0.3">
      <c r="B164" s="49" t="s">
        <v>415</v>
      </c>
      <c r="C164" s="52">
        <v>4</v>
      </c>
      <c r="D164" s="52"/>
      <c r="E164" s="49"/>
    </row>
    <row r="165" spans="2:5" x14ac:dyDescent="0.3">
      <c r="B165" s="49" t="s">
        <v>221</v>
      </c>
      <c r="C165" s="52">
        <v>1.5</v>
      </c>
      <c r="D165" s="52">
        <v>1</v>
      </c>
      <c r="E165" s="49"/>
    </row>
    <row r="166" spans="2:5" x14ac:dyDescent="0.3">
      <c r="B166" s="49" t="s">
        <v>416</v>
      </c>
      <c r="C166" s="52">
        <v>5</v>
      </c>
      <c r="D166" s="52"/>
      <c r="E166" s="49"/>
    </row>
    <row r="167" spans="2:5" x14ac:dyDescent="0.3">
      <c r="B167" s="49" t="s">
        <v>417</v>
      </c>
      <c r="C167" s="52">
        <v>7</v>
      </c>
      <c r="D167" s="52"/>
      <c r="E167" s="49"/>
    </row>
    <row r="168" spans="2:5" x14ac:dyDescent="0.3">
      <c r="B168" s="49" t="s">
        <v>186</v>
      </c>
      <c r="C168" s="52">
        <v>4.5</v>
      </c>
      <c r="D168" s="52">
        <v>0.5</v>
      </c>
      <c r="E168" s="49"/>
    </row>
    <row r="169" spans="2:5" x14ac:dyDescent="0.3">
      <c r="B169" s="49" t="s">
        <v>239</v>
      </c>
      <c r="C169" s="52">
        <v>3.5</v>
      </c>
      <c r="D169" s="52"/>
      <c r="E169" s="49"/>
    </row>
    <row r="170" spans="2:5" x14ac:dyDescent="0.3">
      <c r="B170" s="49" t="s">
        <v>175</v>
      </c>
      <c r="C170" s="52">
        <v>0.5</v>
      </c>
      <c r="D170" s="52"/>
      <c r="E170" s="49"/>
    </row>
    <row r="171" spans="2:5" x14ac:dyDescent="0.3">
      <c r="B171" s="49" t="s">
        <v>418</v>
      </c>
      <c r="C171" s="52">
        <v>7</v>
      </c>
      <c r="D171" s="52"/>
      <c r="E171" s="49"/>
    </row>
    <row r="172" spans="2:5" x14ac:dyDescent="0.3">
      <c r="B172" s="49" t="s">
        <v>226</v>
      </c>
      <c r="C172" s="52">
        <v>2</v>
      </c>
      <c r="D172" s="52"/>
      <c r="E172" s="49"/>
    </row>
    <row r="173" spans="2:5" x14ac:dyDescent="0.3">
      <c r="B173" s="49" t="s">
        <v>381</v>
      </c>
      <c r="C173" s="52">
        <v>2</v>
      </c>
      <c r="D173" s="52">
        <v>1</v>
      </c>
      <c r="E173" s="49"/>
    </row>
    <row r="174" spans="2:5" x14ac:dyDescent="0.3">
      <c r="B174" s="49" t="s">
        <v>248</v>
      </c>
      <c r="C174" s="52">
        <v>4</v>
      </c>
      <c r="D174" s="52">
        <v>1.5</v>
      </c>
      <c r="E174" s="49"/>
    </row>
    <row r="175" spans="2:5" x14ac:dyDescent="0.3">
      <c r="B175" s="49" t="s">
        <v>419</v>
      </c>
      <c r="C175" s="52">
        <v>30</v>
      </c>
      <c r="D175" s="52">
        <v>15</v>
      </c>
      <c r="E175" s="49"/>
    </row>
    <row r="176" spans="2:5" x14ac:dyDescent="0.3">
      <c r="B176" s="49" t="s">
        <v>420</v>
      </c>
      <c r="C176" s="52">
        <v>1.5</v>
      </c>
      <c r="D176" s="52"/>
      <c r="E176" s="49"/>
    </row>
    <row r="177" spans="2:5" x14ac:dyDescent="0.3">
      <c r="B177" s="49" t="s">
        <v>421</v>
      </c>
      <c r="C177" s="52">
        <v>3.5</v>
      </c>
      <c r="D177" s="52"/>
      <c r="E177" s="49"/>
    </row>
    <row r="178" spans="2:5" x14ac:dyDescent="0.3">
      <c r="B178" s="49" t="s">
        <v>422</v>
      </c>
      <c r="C178" s="52">
        <v>0.25</v>
      </c>
      <c r="D178" s="52"/>
      <c r="E178" s="49"/>
    </row>
    <row r="179" spans="2:5" x14ac:dyDescent="0.3">
      <c r="B179" s="49" t="s">
        <v>423</v>
      </c>
      <c r="C179" s="52">
        <v>0.75</v>
      </c>
      <c r="D179" s="52"/>
      <c r="E179" s="49"/>
    </row>
    <row r="180" spans="2:5" x14ac:dyDescent="0.3">
      <c r="B180" s="49" t="s">
        <v>186</v>
      </c>
      <c r="C180" s="52">
        <v>4.5</v>
      </c>
      <c r="D180" s="52"/>
      <c r="E180" s="49"/>
    </row>
    <row r="181" spans="2:5" x14ac:dyDescent="0.3">
      <c r="B181" s="49" t="s">
        <v>424</v>
      </c>
      <c r="C181" s="52">
        <v>2</v>
      </c>
      <c r="D181" s="52"/>
      <c r="E181" s="49"/>
    </row>
    <row r="182" spans="2:5" x14ac:dyDescent="0.3">
      <c r="B182" s="49" t="s">
        <v>425</v>
      </c>
      <c r="C182" s="52">
        <v>1.5</v>
      </c>
      <c r="D182" s="52">
        <v>1.5</v>
      </c>
      <c r="E182" s="49"/>
    </row>
    <row r="183" spans="2:5" x14ac:dyDescent="0.3">
      <c r="B183" s="49" t="s">
        <v>208</v>
      </c>
      <c r="C183" s="52">
        <v>1</v>
      </c>
      <c r="D183" s="52"/>
      <c r="E183" s="49"/>
    </row>
    <row r="184" spans="2:5" x14ac:dyDescent="0.3">
      <c r="B184" s="49" t="s">
        <v>186</v>
      </c>
      <c r="C184" s="52">
        <v>4.5</v>
      </c>
      <c r="D184" s="52">
        <v>0.5</v>
      </c>
      <c r="E184" s="49"/>
    </row>
    <row r="185" spans="2:5" x14ac:dyDescent="0.3">
      <c r="B185" s="49" t="s">
        <v>186</v>
      </c>
      <c r="C185" s="52">
        <v>4.5</v>
      </c>
      <c r="D185" s="52">
        <v>0.5</v>
      </c>
      <c r="E185" s="49"/>
    </row>
    <row r="186" spans="2:5" x14ac:dyDescent="0.3">
      <c r="B186" s="49" t="s">
        <v>426</v>
      </c>
      <c r="C186" s="52">
        <v>6</v>
      </c>
      <c r="D186" s="52">
        <v>1</v>
      </c>
      <c r="E186" s="49"/>
    </row>
    <row r="187" spans="2:5" x14ac:dyDescent="0.3">
      <c r="B187" s="49" t="s">
        <v>174</v>
      </c>
      <c r="C187" s="52">
        <v>1</v>
      </c>
      <c r="D187" s="52"/>
      <c r="E187" s="49"/>
    </row>
    <row r="188" spans="2:5" x14ac:dyDescent="0.3">
      <c r="B188" s="49" t="s">
        <v>345</v>
      </c>
      <c r="C188" s="52">
        <v>3</v>
      </c>
      <c r="D188" s="52">
        <v>1</v>
      </c>
      <c r="E188" s="49"/>
    </row>
    <row r="189" spans="2:5" x14ac:dyDescent="0.3">
      <c r="B189" s="49" t="s">
        <v>427</v>
      </c>
      <c r="C189" s="52">
        <v>1</v>
      </c>
      <c r="D189" s="52"/>
      <c r="E189" s="49"/>
    </row>
    <row r="190" spans="2:5" x14ac:dyDescent="0.3">
      <c r="B190" s="49" t="s">
        <v>428</v>
      </c>
      <c r="C190" s="52">
        <v>6</v>
      </c>
      <c r="D190" s="52"/>
      <c r="E190" s="49"/>
    </row>
    <row r="191" spans="2:5" x14ac:dyDescent="0.3">
      <c r="B191" s="49" t="s">
        <v>429</v>
      </c>
      <c r="C191" s="52">
        <v>2</v>
      </c>
      <c r="D191" s="52">
        <v>3</v>
      </c>
      <c r="E191" s="49"/>
    </row>
    <row r="192" spans="2:5" x14ac:dyDescent="0.3">
      <c r="B192" s="49" t="s">
        <v>430</v>
      </c>
      <c r="C192" s="52">
        <v>2</v>
      </c>
      <c r="D192" s="52"/>
      <c r="E192" s="49"/>
    </row>
    <row r="193" spans="2:5" x14ac:dyDescent="0.3">
      <c r="B193" s="49" t="s">
        <v>186</v>
      </c>
      <c r="C193" s="52">
        <v>4.5</v>
      </c>
      <c r="D193" s="52">
        <v>0.5</v>
      </c>
      <c r="E193" s="49"/>
    </row>
    <row r="194" spans="2:5" x14ac:dyDescent="0.3">
      <c r="B194" s="49" t="s">
        <v>431</v>
      </c>
      <c r="C194" s="52">
        <v>4.5</v>
      </c>
      <c r="D194" s="52">
        <v>1.5</v>
      </c>
      <c r="E194" s="49"/>
    </row>
    <row r="195" spans="2:5" x14ac:dyDescent="0.3">
      <c r="B195" s="49" t="s">
        <v>186</v>
      </c>
      <c r="C195" s="52">
        <v>4.5</v>
      </c>
      <c r="D195" s="52"/>
      <c r="E195" s="49"/>
    </row>
    <row r="196" spans="2:5" x14ac:dyDescent="0.3">
      <c r="B196" s="49" t="s">
        <v>186</v>
      </c>
      <c r="C196" s="52">
        <v>4.5</v>
      </c>
      <c r="D196" s="52">
        <v>0.5</v>
      </c>
      <c r="E196" s="49"/>
    </row>
    <row r="197" spans="2:5" x14ac:dyDescent="0.3">
      <c r="B197" s="49" t="s">
        <v>432</v>
      </c>
      <c r="C197" s="52">
        <v>30</v>
      </c>
      <c r="D197" s="52"/>
      <c r="E197" s="49"/>
    </row>
    <row r="198" spans="2:5" x14ac:dyDescent="0.3">
      <c r="B198" s="49" t="s">
        <v>433</v>
      </c>
      <c r="C198" s="52">
        <v>8</v>
      </c>
      <c r="D198" s="52"/>
      <c r="E198" s="49"/>
    </row>
    <row r="199" spans="2:5" x14ac:dyDescent="0.3">
      <c r="B199" s="49" t="s">
        <v>434</v>
      </c>
      <c r="C199" s="52">
        <v>2</v>
      </c>
      <c r="D199" s="52">
        <v>17</v>
      </c>
      <c r="E199" s="49"/>
    </row>
    <row r="200" spans="2:5" x14ac:dyDescent="0.3">
      <c r="B200" s="49" t="s">
        <v>358</v>
      </c>
      <c r="C200" s="52">
        <v>2</v>
      </c>
      <c r="D200" s="52"/>
      <c r="E200" s="49"/>
    </row>
    <row r="201" spans="2:5" x14ac:dyDescent="0.3">
      <c r="B201" s="49" t="s">
        <v>357</v>
      </c>
      <c r="C201" s="52">
        <v>2</v>
      </c>
      <c r="D201" s="52"/>
      <c r="E201" s="49"/>
    </row>
    <row r="202" spans="2:5" x14ac:dyDescent="0.3">
      <c r="B202" s="49" t="s">
        <v>186</v>
      </c>
      <c r="C202" s="52">
        <v>4.5</v>
      </c>
      <c r="D202" s="52"/>
      <c r="E202" s="49"/>
    </row>
    <row r="203" spans="2:5" x14ac:dyDescent="0.3">
      <c r="B203" s="49" t="s">
        <v>186</v>
      </c>
      <c r="C203" s="52">
        <v>4.5</v>
      </c>
      <c r="D203" s="52"/>
      <c r="E203" s="49"/>
    </row>
    <row r="204" spans="2:5" x14ac:dyDescent="0.3">
      <c r="B204" s="49" t="s">
        <v>435</v>
      </c>
      <c r="C204" s="52">
        <v>4.5</v>
      </c>
      <c r="D204" s="52">
        <v>5</v>
      </c>
      <c r="E204" s="49"/>
    </row>
    <row r="205" spans="2:5" x14ac:dyDescent="0.3">
      <c r="B205" s="49" t="s">
        <v>436</v>
      </c>
      <c r="C205" s="52">
        <v>6</v>
      </c>
      <c r="D205" s="52"/>
      <c r="E205" s="49"/>
    </row>
    <row r="206" spans="2:5" x14ac:dyDescent="0.3">
      <c r="B206" s="49" t="s">
        <v>172</v>
      </c>
      <c r="C206" s="52">
        <v>2</v>
      </c>
      <c r="D206" s="52"/>
      <c r="E206" s="49"/>
    </row>
    <row r="207" spans="2:5" x14ac:dyDescent="0.3">
      <c r="B207" s="49" t="s">
        <v>208</v>
      </c>
      <c r="C207" s="52">
        <v>0.5</v>
      </c>
      <c r="D207" s="52">
        <v>3</v>
      </c>
      <c r="E207" s="49"/>
    </row>
    <row r="208" spans="2:5" x14ac:dyDescent="0.3">
      <c r="B208" s="49" t="s">
        <v>174</v>
      </c>
      <c r="C208" s="52">
        <v>1</v>
      </c>
      <c r="D208" s="52"/>
      <c r="E208" s="49"/>
    </row>
    <row r="209" spans="2:5" x14ac:dyDescent="0.3">
      <c r="B209" s="49" t="s">
        <v>405</v>
      </c>
      <c r="C209" s="52">
        <v>2</v>
      </c>
      <c r="D209" s="52"/>
      <c r="E209" s="49"/>
    </row>
    <row r="210" spans="2:5" x14ac:dyDescent="0.3">
      <c r="B210" s="49" t="s">
        <v>405</v>
      </c>
      <c r="C210" s="52">
        <v>2</v>
      </c>
      <c r="D210" s="52"/>
      <c r="E210" s="49"/>
    </row>
    <row r="211" spans="2:5" x14ac:dyDescent="0.3">
      <c r="B211" s="49" t="s">
        <v>437</v>
      </c>
      <c r="C211" s="52">
        <v>2.5</v>
      </c>
      <c r="D211" s="52">
        <v>4</v>
      </c>
      <c r="E211" s="49"/>
    </row>
    <row r="212" spans="2:5" x14ac:dyDescent="0.3">
      <c r="B212" s="49" t="s">
        <v>186</v>
      </c>
      <c r="C212" s="52">
        <v>4.5</v>
      </c>
      <c r="D212" s="52"/>
      <c r="E212" s="49"/>
    </row>
    <row r="213" spans="2:5" x14ac:dyDescent="0.3">
      <c r="B213" s="49" t="s">
        <v>438</v>
      </c>
      <c r="C213" s="52">
        <v>0.5</v>
      </c>
      <c r="D213" s="52">
        <v>3.5</v>
      </c>
      <c r="E213" s="49"/>
    </row>
    <row r="214" spans="2:5" x14ac:dyDescent="0.3">
      <c r="B214" s="49" t="s">
        <v>365</v>
      </c>
      <c r="C214" s="52">
        <v>30</v>
      </c>
      <c r="D214" s="52">
        <v>17</v>
      </c>
      <c r="E214" s="49"/>
    </row>
    <row r="215" spans="2:5" x14ac:dyDescent="0.3">
      <c r="B215" s="49" t="s">
        <v>357</v>
      </c>
      <c r="C215" s="52">
        <v>2</v>
      </c>
      <c r="D215" s="52"/>
      <c r="E215" s="49"/>
    </row>
    <row r="216" spans="2:5" x14ac:dyDescent="0.3">
      <c r="B216" s="49" t="s">
        <v>420</v>
      </c>
      <c r="C216" s="52">
        <v>2</v>
      </c>
      <c r="D216" s="52"/>
      <c r="E216" s="49"/>
    </row>
    <row r="217" spans="2:5" x14ac:dyDescent="0.3">
      <c r="B217" s="49" t="s">
        <v>439</v>
      </c>
      <c r="C217" s="52">
        <v>3.5</v>
      </c>
      <c r="D217" s="52"/>
      <c r="E217" s="49"/>
    </row>
    <row r="218" spans="2:5" x14ac:dyDescent="0.3">
      <c r="B218" s="49" t="s">
        <v>440</v>
      </c>
      <c r="C218" s="52">
        <v>30</v>
      </c>
      <c r="D218" s="52">
        <v>15</v>
      </c>
      <c r="E218" s="49"/>
    </row>
    <row r="219" spans="2:5" x14ac:dyDescent="0.3">
      <c r="B219" s="49" t="s">
        <v>357</v>
      </c>
      <c r="C219" s="52">
        <v>2</v>
      </c>
      <c r="D219" s="52"/>
      <c r="E219" s="49"/>
    </row>
    <row r="220" spans="2:5" x14ac:dyDescent="0.3">
      <c r="B220" s="49" t="s">
        <v>433</v>
      </c>
      <c r="C220" s="52">
        <v>8</v>
      </c>
      <c r="D220" s="52"/>
      <c r="E220" s="49"/>
    </row>
    <row r="221" spans="2:5" x14ac:dyDescent="0.3">
      <c r="B221" s="49" t="s">
        <v>186</v>
      </c>
      <c r="C221" s="52">
        <v>4.5</v>
      </c>
      <c r="D221" s="52"/>
      <c r="E221" s="49"/>
    </row>
    <row r="222" spans="2:5" x14ac:dyDescent="0.3">
      <c r="B222" s="49" t="s">
        <v>441</v>
      </c>
      <c r="C222" s="52">
        <v>7</v>
      </c>
      <c r="D222" s="52"/>
      <c r="E222" s="49"/>
    </row>
    <row r="223" spans="2:5" x14ac:dyDescent="0.3">
      <c r="B223" s="49" t="s">
        <v>155</v>
      </c>
      <c r="C223" s="52">
        <v>2</v>
      </c>
      <c r="D223" s="52"/>
      <c r="E223" s="49"/>
    </row>
    <row r="224" spans="2:5" x14ac:dyDescent="0.3">
      <c r="B224" s="49" t="s">
        <v>356</v>
      </c>
      <c r="C224" s="52">
        <v>30</v>
      </c>
      <c r="D224" s="52"/>
      <c r="E224" s="49"/>
    </row>
    <row r="225" spans="2:5" x14ac:dyDescent="0.3">
      <c r="B225" s="49" t="s">
        <v>357</v>
      </c>
      <c r="C225" s="52">
        <v>2.5</v>
      </c>
      <c r="D225" s="52"/>
      <c r="E225" s="49"/>
    </row>
    <row r="226" spans="2:5" x14ac:dyDescent="0.3">
      <c r="B226" s="49" t="s">
        <v>262</v>
      </c>
      <c r="C226" s="52">
        <v>15</v>
      </c>
      <c r="D226" s="52">
        <v>5</v>
      </c>
      <c r="E226" s="49"/>
    </row>
    <row r="227" spans="2:5" x14ac:dyDescent="0.3">
      <c r="B227" s="49" t="s">
        <v>389</v>
      </c>
      <c r="C227" s="52">
        <v>3.5</v>
      </c>
      <c r="D227" s="52"/>
      <c r="E227" s="49"/>
    </row>
    <row r="228" spans="2:5" x14ac:dyDescent="0.3">
      <c r="B228" s="49" t="s">
        <v>443</v>
      </c>
      <c r="C228" s="52">
        <v>6</v>
      </c>
      <c r="D228" s="52"/>
      <c r="E228" s="49"/>
    </row>
    <row r="229" spans="2:5" x14ac:dyDescent="0.3">
      <c r="B229" s="49" t="s">
        <v>169</v>
      </c>
      <c r="C229" s="52">
        <v>1.5</v>
      </c>
      <c r="D229" s="52"/>
      <c r="E229" s="49"/>
    </row>
    <row r="230" spans="2:5" x14ac:dyDescent="0.3">
      <c r="B230" s="49" t="s">
        <v>383</v>
      </c>
      <c r="C230" s="52">
        <v>5</v>
      </c>
      <c r="D230" s="52"/>
      <c r="E230" s="49"/>
    </row>
    <row r="231" spans="2:5" x14ac:dyDescent="0.3">
      <c r="B231" s="49" t="s">
        <v>226</v>
      </c>
      <c r="C231" s="52">
        <v>2</v>
      </c>
      <c r="D231" s="52"/>
      <c r="E231" s="49"/>
    </row>
    <row r="232" spans="2:5" x14ac:dyDescent="0.3">
      <c r="B232" s="49" t="s">
        <v>246</v>
      </c>
      <c r="C232" s="52">
        <v>2</v>
      </c>
      <c r="D232" s="52"/>
      <c r="E232" s="49"/>
    </row>
    <row r="233" spans="2:5" x14ac:dyDescent="0.3">
      <c r="B233" s="49" t="s">
        <v>174</v>
      </c>
      <c r="C233" s="52">
        <v>1</v>
      </c>
      <c r="D233" s="52"/>
      <c r="E233" s="49"/>
    </row>
    <row r="234" spans="2:5" x14ac:dyDescent="0.3">
      <c r="B234" s="49" t="s">
        <v>226</v>
      </c>
      <c r="C234" s="52">
        <v>2</v>
      </c>
      <c r="D234" s="52"/>
      <c r="E234" s="49"/>
    </row>
    <row r="235" spans="2:5" x14ac:dyDescent="0.3">
      <c r="B235" s="49" t="s">
        <v>444</v>
      </c>
      <c r="C235" s="52">
        <v>6</v>
      </c>
      <c r="D235" s="52">
        <v>1</v>
      </c>
      <c r="E235" s="49"/>
    </row>
    <row r="236" spans="2:5" x14ac:dyDescent="0.3">
      <c r="B236" s="49" t="s">
        <v>186</v>
      </c>
      <c r="C236" s="52">
        <v>5</v>
      </c>
      <c r="D236" s="52"/>
      <c r="E236" s="49"/>
    </row>
    <row r="237" spans="2:5" x14ac:dyDescent="0.3">
      <c r="B237" s="49" t="s">
        <v>401</v>
      </c>
      <c r="C237" s="52">
        <v>3.5</v>
      </c>
      <c r="D237" s="52"/>
      <c r="E237" s="49"/>
    </row>
    <row r="238" spans="2:5" x14ac:dyDescent="0.3">
      <c r="B238" s="49" t="s">
        <v>262</v>
      </c>
      <c r="C238" s="52">
        <v>15</v>
      </c>
      <c r="D238" s="52">
        <v>10</v>
      </c>
      <c r="E238" s="49"/>
    </row>
    <row r="239" spans="2:5" x14ac:dyDescent="0.3">
      <c r="B239" s="49" t="s">
        <v>357</v>
      </c>
      <c r="C239" s="52">
        <v>2.5</v>
      </c>
      <c r="D239" s="52"/>
      <c r="E239" s="49"/>
    </row>
    <row r="240" spans="2:5" x14ac:dyDescent="0.3">
      <c r="B240" s="49" t="s">
        <v>161</v>
      </c>
      <c r="C240" s="52">
        <v>2</v>
      </c>
      <c r="D240" s="52"/>
      <c r="E240" s="49"/>
    </row>
    <row r="241" spans="2:5" x14ac:dyDescent="0.3">
      <c r="B241" s="49" t="s">
        <v>391</v>
      </c>
      <c r="C241" s="52">
        <v>2</v>
      </c>
      <c r="D241" s="52"/>
      <c r="E241" s="49"/>
    </row>
    <row r="242" spans="2:5" x14ac:dyDescent="0.3">
      <c r="B242" s="49" t="s">
        <v>169</v>
      </c>
      <c r="C242" s="52">
        <v>1</v>
      </c>
      <c r="D242" s="52"/>
      <c r="E242" s="49"/>
    </row>
    <row r="243" spans="2:5" x14ac:dyDescent="0.3">
      <c r="B243" s="49" t="s">
        <v>445</v>
      </c>
      <c r="C243" s="52">
        <v>7</v>
      </c>
      <c r="D243" s="52"/>
      <c r="E243" s="49"/>
    </row>
    <row r="244" spans="2:5" x14ac:dyDescent="0.3">
      <c r="B244" s="49" t="s">
        <v>446</v>
      </c>
      <c r="C244" s="52">
        <v>4.5</v>
      </c>
      <c r="D244" s="52">
        <v>0.5</v>
      </c>
      <c r="E244" s="49"/>
    </row>
    <row r="245" spans="2:5" x14ac:dyDescent="0.3">
      <c r="B245" s="49" t="s">
        <v>447</v>
      </c>
      <c r="C245" s="52">
        <v>3</v>
      </c>
      <c r="D245" s="52"/>
      <c r="E245" s="49"/>
    </row>
    <row r="246" spans="2:5" x14ac:dyDescent="0.3">
      <c r="B246" s="49" t="s">
        <v>171</v>
      </c>
      <c r="C246" s="52">
        <v>13</v>
      </c>
      <c r="D246" s="52"/>
      <c r="E246" s="49"/>
    </row>
    <row r="247" spans="2:5" x14ac:dyDescent="0.3">
      <c r="B247" s="49" t="s">
        <v>393</v>
      </c>
      <c r="C247" s="52">
        <v>6</v>
      </c>
      <c r="D247" s="52"/>
      <c r="E247" s="49"/>
    </row>
    <row r="248" spans="2:5" x14ac:dyDescent="0.3">
      <c r="B248" s="49" t="s">
        <v>362</v>
      </c>
      <c r="C248" s="52">
        <v>0.5</v>
      </c>
      <c r="D248" s="52"/>
      <c r="E248" s="49"/>
    </row>
    <row r="249" spans="2:5" x14ac:dyDescent="0.3">
      <c r="B249" s="49" t="s">
        <v>448</v>
      </c>
      <c r="C249" s="52">
        <v>0.5</v>
      </c>
      <c r="D249" s="52">
        <v>8</v>
      </c>
      <c r="E249" s="49"/>
    </row>
    <row r="250" spans="2:5" x14ac:dyDescent="0.3">
      <c r="B250" s="49" t="s">
        <v>186</v>
      </c>
      <c r="C250" s="52">
        <v>4.5</v>
      </c>
      <c r="D250" s="52"/>
      <c r="E250" s="49"/>
    </row>
    <row r="251" spans="2:5" x14ac:dyDescent="0.3">
      <c r="B251" s="49" t="s">
        <v>262</v>
      </c>
      <c r="C251" s="52">
        <v>15</v>
      </c>
      <c r="D251" s="52">
        <v>3</v>
      </c>
      <c r="E251" s="49"/>
    </row>
    <row r="252" spans="2:5" x14ac:dyDescent="0.3">
      <c r="B252" s="49" t="s">
        <v>186</v>
      </c>
      <c r="C252" s="52">
        <v>4.5</v>
      </c>
      <c r="D252" s="52"/>
      <c r="E252" s="49"/>
    </row>
    <row r="253" spans="2:5" x14ac:dyDescent="0.3">
      <c r="B253" s="49" t="s">
        <v>449</v>
      </c>
      <c r="C253" s="52">
        <v>2.25</v>
      </c>
      <c r="D253" s="52">
        <v>0.25</v>
      </c>
      <c r="E253" s="49"/>
    </row>
    <row r="254" spans="2:5" x14ac:dyDescent="0.3">
      <c r="B254" s="49" t="s">
        <v>442</v>
      </c>
      <c r="C254" s="52">
        <v>4.5</v>
      </c>
      <c r="D254" s="52"/>
      <c r="E254" s="49"/>
    </row>
    <row r="255" spans="2:5" x14ac:dyDescent="0.3">
      <c r="B255" s="49" t="s">
        <v>186</v>
      </c>
      <c r="C255" s="52">
        <v>6.5</v>
      </c>
      <c r="D255" s="52"/>
      <c r="E255" s="49"/>
    </row>
    <row r="256" spans="2:5" x14ac:dyDescent="0.3">
      <c r="B256" s="49" t="s">
        <v>204</v>
      </c>
      <c r="C256" s="52">
        <v>1</v>
      </c>
      <c r="D256" s="52">
        <v>1</v>
      </c>
      <c r="E256" s="49"/>
    </row>
    <row r="257" spans="2:5" x14ac:dyDescent="0.3">
      <c r="B257" s="49" t="s">
        <v>450</v>
      </c>
      <c r="C257" s="52">
        <v>0.5</v>
      </c>
      <c r="D257" s="52"/>
      <c r="E257" s="49"/>
    </row>
    <row r="258" spans="2:5" x14ac:dyDescent="0.3">
      <c r="B258" s="49" t="s">
        <v>451</v>
      </c>
      <c r="C258" s="52">
        <v>2</v>
      </c>
      <c r="D258" s="52"/>
      <c r="E258" s="49"/>
    </row>
    <row r="259" spans="2:5" x14ac:dyDescent="0.3">
      <c r="B259" s="49" t="s">
        <v>362</v>
      </c>
      <c r="C259" s="52">
        <v>0.5</v>
      </c>
      <c r="D259" s="52"/>
      <c r="E259" s="49"/>
    </row>
    <row r="260" spans="2:5" x14ac:dyDescent="0.3">
      <c r="B260" s="49" t="s">
        <v>452</v>
      </c>
      <c r="C260" s="52">
        <v>4.5</v>
      </c>
      <c r="D260" s="52"/>
      <c r="E260" s="49"/>
    </row>
    <row r="261" spans="2:5" x14ac:dyDescent="0.3">
      <c r="B261" s="49" t="s">
        <v>169</v>
      </c>
      <c r="C261" s="52">
        <v>1.5</v>
      </c>
      <c r="D261" s="52"/>
      <c r="E261" s="49"/>
    </row>
    <row r="262" spans="2:5" x14ac:dyDescent="0.3">
      <c r="B262" s="49" t="s">
        <v>168</v>
      </c>
      <c r="C262" s="52">
        <v>2</v>
      </c>
      <c r="D262" s="52">
        <v>10</v>
      </c>
      <c r="E262" s="49"/>
    </row>
    <row r="263" spans="2:5" x14ac:dyDescent="0.3">
      <c r="B263" s="49" t="s">
        <v>264</v>
      </c>
      <c r="C263" s="52">
        <v>0.25</v>
      </c>
      <c r="D263" s="52"/>
      <c r="E263" s="49"/>
    </row>
    <row r="264" spans="2:5" x14ac:dyDescent="0.3">
      <c r="B264" s="49" t="s">
        <v>453</v>
      </c>
      <c r="C264" s="52">
        <v>3</v>
      </c>
      <c r="D264" s="52"/>
      <c r="E264" s="49"/>
    </row>
    <row r="265" spans="2:5" x14ac:dyDescent="0.3">
      <c r="B265" s="49" t="s">
        <v>454</v>
      </c>
      <c r="C265" s="52">
        <v>2</v>
      </c>
      <c r="D265" s="52">
        <v>0.5</v>
      </c>
      <c r="E265" s="49"/>
    </row>
    <row r="266" spans="2:5" x14ac:dyDescent="0.3">
      <c r="B266" s="49" t="s">
        <v>455</v>
      </c>
      <c r="C266" s="52">
        <v>5</v>
      </c>
      <c r="D266" s="52"/>
      <c r="E266" s="49"/>
    </row>
    <row r="267" spans="2:5" x14ac:dyDescent="0.3">
      <c r="B267" s="49" t="s">
        <v>405</v>
      </c>
      <c r="C267" s="52">
        <v>2.5</v>
      </c>
      <c r="D267" s="52"/>
      <c r="E267" s="49"/>
    </row>
    <row r="268" spans="2:5" x14ac:dyDescent="0.3">
      <c r="B268" s="49" t="s">
        <v>456</v>
      </c>
      <c r="C268" s="52">
        <v>2</v>
      </c>
      <c r="D268" s="52">
        <v>2</v>
      </c>
      <c r="E268" s="49"/>
    </row>
    <row r="269" spans="2:5" x14ac:dyDescent="0.3">
      <c r="B269" s="49" t="s">
        <v>382</v>
      </c>
      <c r="C269" s="52">
        <v>4.5</v>
      </c>
      <c r="D269" s="52">
        <v>0.5</v>
      </c>
      <c r="E269" s="49"/>
    </row>
    <row r="270" spans="2:5" x14ac:dyDescent="0.3">
      <c r="B270" s="49" t="s">
        <v>155</v>
      </c>
      <c r="C270" s="52">
        <v>2</v>
      </c>
      <c r="D270" s="52"/>
      <c r="E270" s="49"/>
    </row>
    <row r="271" spans="2:5" x14ac:dyDescent="0.3">
      <c r="B271" s="49" t="s">
        <v>186</v>
      </c>
      <c r="C271" s="52">
        <v>4.5</v>
      </c>
      <c r="D271" s="52"/>
      <c r="E271" s="49"/>
    </row>
    <row r="272" spans="2:5" x14ac:dyDescent="0.3">
      <c r="B272" s="49" t="s">
        <v>355</v>
      </c>
      <c r="C272" s="52">
        <v>4.5</v>
      </c>
      <c r="D272" s="52"/>
      <c r="E272" s="49"/>
    </row>
    <row r="273" spans="2:5" x14ac:dyDescent="0.3">
      <c r="B273" s="49" t="s">
        <v>355</v>
      </c>
      <c r="C273" s="52">
        <v>4.5</v>
      </c>
      <c r="D273" s="52">
        <v>0.5</v>
      </c>
      <c r="E273" s="49"/>
    </row>
    <row r="274" spans="2:5" x14ac:dyDescent="0.3">
      <c r="B274" s="49" t="s">
        <v>457</v>
      </c>
      <c r="C274" s="52"/>
      <c r="D274" s="52">
        <v>5</v>
      </c>
      <c r="E274" s="49"/>
    </row>
    <row r="275" spans="2:5" x14ac:dyDescent="0.3">
      <c r="B275" s="49" t="s">
        <v>433</v>
      </c>
      <c r="C275" s="52">
        <v>8</v>
      </c>
      <c r="D275" s="52">
        <v>10</v>
      </c>
      <c r="E275" s="49"/>
    </row>
    <row r="276" spans="2:5" x14ac:dyDescent="0.3">
      <c r="B276" s="49" t="s">
        <v>458</v>
      </c>
      <c r="C276" s="52">
        <v>5</v>
      </c>
      <c r="D276" s="52"/>
      <c r="E276" s="49"/>
    </row>
    <row r="277" spans="2:5" x14ac:dyDescent="0.3">
      <c r="B277" s="49" t="s">
        <v>459</v>
      </c>
      <c r="C277" s="52">
        <v>1</v>
      </c>
      <c r="D277" s="52">
        <v>2</v>
      </c>
      <c r="E277" s="49"/>
    </row>
    <row r="278" spans="2:5" x14ac:dyDescent="0.3">
      <c r="B278" s="49" t="s">
        <v>460</v>
      </c>
      <c r="C278" s="52">
        <v>4.5</v>
      </c>
      <c r="D278" s="52"/>
      <c r="E278" s="49"/>
    </row>
    <row r="279" spans="2:5" x14ac:dyDescent="0.3">
      <c r="B279" s="49" t="s">
        <v>461</v>
      </c>
      <c r="C279" s="52">
        <v>3.5</v>
      </c>
      <c r="D279" s="52"/>
      <c r="E279" s="49"/>
    </row>
    <row r="280" spans="2:5" x14ac:dyDescent="0.3">
      <c r="B280" s="49" t="s">
        <v>374</v>
      </c>
      <c r="C280" s="52">
        <v>2.5</v>
      </c>
      <c r="D280" s="52">
        <v>5</v>
      </c>
      <c r="E280" s="49"/>
    </row>
    <row r="281" spans="2:5" x14ac:dyDescent="0.3">
      <c r="B281" s="49" t="s">
        <v>402</v>
      </c>
      <c r="C281" s="52">
        <v>4</v>
      </c>
      <c r="D281" s="52"/>
      <c r="E281" s="49"/>
    </row>
    <row r="282" spans="2:5" x14ac:dyDescent="0.3">
      <c r="B282" s="49" t="s">
        <v>462</v>
      </c>
      <c r="C282" s="52">
        <v>15</v>
      </c>
      <c r="D282" s="52"/>
      <c r="E282" s="49"/>
    </row>
    <row r="283" spans="2:5" x14ac:dyDescent="0.3">
      <c r="B283" s="49" t="s">
        <v>460</v>
      </c>
      <c r="C283" s="52">
        <v>4.5</v>
      </c>
      <c r="D283" s="52"/>
      <c r="E283" s="49"/>
    </row>
    <row r="284" spans="2:5" x14ac:dyDescent="0.3">
      <c r="B284" s="49" t="s">
        <v>212</v>
      </c>
      <c r="C284" s="52">
        <v>8</v>
      </c>
      <c r="D284" s="52"/>
      <c r="E284" s="49"/>
    </row>
    <row r="285" spans="2:5" x14ac:dyDescent="0.3">
      <c r="B285" s="49" t="s">
        <v>463</v>
      </c>
      <c r="C285" s="52">
        <v>12</v>
      </c>
      <c r="D285" s="52"/>
      <c r="E285" s="49"/>
    </row>
    <row r="286" spans="2:5" x14ac:dyDescent="0.3">
      <c r="B286" s="49" t="s">
        <v>382</v>
      </c>
      <c r="C286" s="52">
        <v>4.5</v>
      </c>
      <c r="D286" s="52">
        <v>0.5</v>
      </c>
      <c r="E286" s="49"/>
    </row>
    <row r="287" spans="2:5" x14ac:dyDescent="0.3">
      <c r="B287" s="49" t="s">
        <v>464</v>
      </c>
      <c r="C287" s="52">
        <v>5</v>
      </c>
      <c r="D287" s="52">
        <v>2</v>
      </c>
      <c r="E287" s="49"/>
    </row>
    <row r="288" spans="2:5" x14ac:dyDescent="0.3">
      <c r="B288" s="49" t="s">
        <v>227</v>
      </c>
      <c r="C288" s="52">
        <v>2</v>
      </c>
      <c r="D288" s="52"/>
      <c r="E288" s="49"/>
    </row>
    <row r="289" spans="2:9" x14ac:dyDescent="0.3">
      <c r="B289" s="49" t="s">
        <v>465</v>
      </c>
      <c r="C289" s="52"/>
      <c r="D289" s="52">
        <v>2</v>
      </c>
      <c r="E289" s="49"/>
    </row>
    <row r="290" spans="2:9" x14ac:dyDescent="0.3">
      <c r="B290" s="49" t="s">
        <v>172</v>
      </c>
      <c r="C290" s="52">
        <v>2</v>
      </c>
      <c r="D290" s="52">
        <v>1</v>
      </c>
      <c r="E290" s="49"/>
    </row>
    <row r="291" spans="2:9" x14ac:dyDescent="0.3">
      <c r="B291" s="49" t="s">
        <v>466</v>
      </c>
      <c r="C291" s="52">
        <v>4</v>
      </c>
      <c r="D291" s="52">
        <v>1</v>
      </c>
      <c r="E291" s="49"/>
    </row>
    <row r="292" spans="2:9" x14ac:dyDescent="0.3">
      <c r="B292" s="49" t="s">
        <v>461</v>
      </c>
      <c r="C292" s="52">
        <v>3.5</v>
      </c>
      <c r="D292" s="52"/>
      <c r="E292" s="49"/>
    </row>
    <row r="293" spans="2:9" x14ac:dyDescent="0.3">
      <c r="B293" s="49" t="s">
        <v>467</v>
      </c>
      <c r="C293" s="52"/>
      <c r="D293" s="52">
        <v>5</v>
      </c>
      <c r="E293" s="49"/>
    </row>
    <row r="294" spans="2:9" x14ac:dyDescent="0.3">
      <c r="B294" s="49" t="s">
        <v>467</v>
      </c>
      <c r="C294" s="52"/>
      <c r="D294" s="52">
        <v>4</v>
      </c>
      <c r="E294" s="49"/>
    </row>
    <row r="295" spans="2:9" x14ac:dyDescent="0.3">
      <c r="C295" s="47">
        <f>SUM(C5:C294)</f>
        <v>1302.25</v>
      </c>
      <c r="D295" s="47">
        <f>SUM(D5:D294)</f>
        <v>395.25</v>
      </c>
      <c r="E295" s="47">
        <f>SUM(E5:E23)</f>
        <v>728.25</v>
      </c>
      <c r="F295" s="10">
        <f>C295+D295</f>
        <v>1697.5</v>
      </c>
      <c r="G295" s="10">
        <f>F295-E295</f>
        <v>969.25</v>
      </c>
      <c r="I295" s="10"/>
    </row>
    <row r="297" spans="2:9" x14ac:dyDescent="0.3">
      <c r="C297" s="47">
        <f>C295+D295</f>
        <v>1697.5</v>
      </c>
      <c r="D297" s="63">
        <f>C297-E295</f>
        <v>969.25</v>
      </c>
      <c r="E297" s="63">
        <f>D297-C300</f>
        <v>604</v>
      </c>
      <c r="F297" s="10">
        <f>E297-G297</f>
        <v>384</v>
      </c>
      <c r="G297" s="10">
        <v>220</v>
      </c>
    </row>
    <row r="299" spans="2:9" x14ac:dyDescent="0.3">
      <c r="C299" s="63">
        <f>C297-E295</f>
        <v>969.25</v>
      </c>
      <c r="D299" s="63">
        <f>C299-D295</f>
        <v>574</v>
      </c>
    </row>
    <row r="300" spans="2:9" x14ac:dyDescent="0.3">
      <c r="C300" s="54">
        <v>365.25</v>
      </c>
    </row>
    <row r="301" spans="2:9" x14ac:dyDescent="0.3">
      <c r="C301" s="63"/>
    </row>
  </sheetData>
  <mergeCells count="1">
    <mergeCell ref="B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1B9A-6BFF-794B-8373-B9F4E5299FC7}">
  <dimension ref="B3:Q302"/>
  <sheetViews>
    <sheetView tabSelected="1" topLeftCell="A12" workbookViewId="0">
      <selection activeCell="G29" sqref="G29"/>
    </sheetView>
  </sheetViews>
  <sheetFormatPr baseColWidth="10" defaultRowHeight="24" x14ac:dyDescent="0.3"/>
  <cols>
    <col min="2" max="2" width="35.33203125" bestFit="1" customWidth="1"/>
    <col min="3" max="3" width="17.1640625" bestFit="1" customWidth="1"/>
    <col min="4" max="4" width="14.5" bestFit="1" customWidth="1"/>
    <col min="5" max="5" width="19.5" style="10" bestFit="1" customWidth="1"/>
    <col min="6" max="6" width="14.33203125" bestFit="1" customWidth="1"/>
    <col min="7" max="8" width="17" bestFit="1" customWidth="1"/>
    <col min="9" max="9" width="14.83203125" bestFit="1" customWidth="1"/>
    <col min="10" max="10" width="21.1640625" bestFit="1" customWidth="1"/>
    <col min="11" max="11" width="14.33203125" bestFit="1" customWidth="1"/>
    <col min="12" max="13" width="13" style="30" bestFit="1" customWidth="1"/>
  </cols>
  <sheetData>
    <row r="3" spans="2:15" x14ac:dyDescent="0.3">
      <c r="B3" s="85" t="s">
        <v>535</v>
      </c>
      <c r="C3" s="85"/>
      <c r="D3" s="85"/>
      <c r="E3" s="85"/>
    </row>
    <row r="4" spans="2:15" ht="26" x14ac:dyDescent="0.2">
      <c r="B4" s="44" t="s">
        <v>342</v>
      </c>
      <c r="C4" s="44" t="s">
        <v>166</v>
      </c>
      <c r="D4" s="44" t="s">
        <v>273</v>
      </c>
      <c r="E4" s="45" t="s">
        <v>277</v>
      </c>
      <c r="G4" s="31" t="s">
        <v>315</v>
      </c>
      <c r="H4" s="31" t="s">
        <v>119</v>
      </c>
      <c r="I4" s="31">
        <v>0.1</v>
      </c>
      <c r="J4" s="31" t="s">
        <v>337</v>
      </c>
      <c r="L4" s="37" t="s">
        <v>608</v>
      </c>
      <c r="M4" s="37" t="s">
        <v>537</v>
      </c>
      <c r="N4" s="10"/>
      <c r="O4" s="10"/>
    </row>
    <row r="5" spans="2:15" ht="26" x14ac:dyDescent="0.3">
      <c r="B5" s="38" t="s">
        <v>536</v>
      </c>
      <c r="C5" s="39">
        <v>4</v>
      </c>
      <c r="D5" s="29">
        <v>2</v>
      </c>
      <c r="E5" s="39">
        <v>61.5</v>
      </c>
      <c r="G5" s="32" t="s">
        <v>340</v>
      </c>
      <c r="H5" s="33">
        <v>192</v>
      </c>
      <c r="I5" s="33">
        <f>H5*I4</f>
        <v>19.200000000000003</v>
      </c>
      <c r="J5" s="72">
        <f>H5-I5</f>
        <v>172.8</v>
      </c>
      <c r="L5" s="29">
        <v>2</v>
      </c>
      <c r="M5" s="29">
        <v>5.5</v>
      </c>
      <c r="O5" s="10"/>
    </row>
    <row r="6" spans="2:15" ht="26" x14ac:dyDescent="0.3">
      <c r="B6" s="38" t="s">
        <v>212</v>
      </c>
      <c r="C6" s="39">
        <v>5</v>
      </c>
      <c r="D6" s="29">
        <v>0.5</v>
      </c>
      <c r="E6" s="39">
        <v>10</v>
      </c>
      <c r="G6" s="32" t="s">
        <v>537</v>
      </c>
      <c r="H6" s="33">
        <v>186</v>
      </c>
      <c r="I6" s="33">
        <f>H6*I4</f>
        <v>18.600000000000001</v>
      </c>
      <c r="J6" s="33">
        <f>H6-I6</f>
        <v>167.4</v>
      </c>
      <c r="L6" s="29">
        <v>0.5</v>
      </c>
      <c r="M6" s="29">
        <v>1.5</v>
      </c>
      <c r="O6" s="10"/>
    </row>
    <row r="7" spans="2:15" ht="26" x14ac:dyDescent="0.3">
      <c r="B7" s="38" t="s">
        <v>225</v>
      </c>
      <c r="C7" s="39">
        <v>4</v>
      </c>
      <c r="D7" s="29">
        <v>20</v>
      </c>
      <c r="E7" s="39">
        <v>50</v>
      </c>
      <c r="G7" s="70" t="s">
        <v>609</v>
      </c>
      <c r="H7" s="66">
        <v>80</v>
      </c>
      <c r="I7" s="66">
        <f>SUM(I5:I6)</f>
        <v>37.800000000000004</v>
      </c>
      <c r="J7" s="66">
        <f>SUM(J5:J6)</f>
        <v>340.20000000000005</v>
      </c>
      <c r="L7" s="29">
        <v>20</v>
      </c>
      <c r="M7" s="29">
        <v>3</v>
      </c>
    </row>
    <row r="8" spans="2:15" ht="26" x14ac:dyDescent="0.3">
      <c r="B8" s="38" t="s">
        <v>538</v>
      </c>
      <c r="C8" s="39">
        <v>4.5</v>
      </c>
      <c r="D8" s="29">
        <v>3</v>
      </c>
      <c r="E8" s="39">
        <v>8</v>
      </c>
      <c r="G8" s="53"/>
      <c r="H8" s="66">
        <f>H5+H6</f>
        <v>378</v>
      </c>
      <c r="I8" s="63"/>
      <c r="J8" s="63"/>
      <c r="L8" s="29">
        <v>3</v>
      </c>
      <c r="M8" s="29">
        <v>4</v>
      </c>
    </row>
    <row r="9" spans="2:15" ht="26" x14ac:dyDescent="0.3">
      <c r="B9" s="38" t="s">
        <v>222</v>
      </c>
      <c r="C9" s="39">
        <v>4</v>
      </c>
      <c r="D9" s="29">
        <v>0.5</v>
      </c>
      <c r="E9" s="39">
        <v>78</v>
      </c>
      <c r="G9" s="53"/>
      <c r="H9" s="53"/>
      <c r="I9" s="63"/>
      <c r="J9" s="53"/>
      <c r="K9" s="10"/>
      <c r="L9" s="29">
        <v>0.5</v>
      </c>
      <c r="M9" s="29">
        <v>2</v>
      </c>
    </row>
    <row r="10" spans="2:15" x14ac:dyDescent="0.3">
      <c r="B10" s="38" t="s">
        <v>348</v>
      </c>
      <c r="C10" s="39">
        <v>1</v>
      </c>
      <c r="D10" s="29">
        <v>0.5</v>
      </c>
      <c r="E10" s="39">
        <v>44</v>
      </c>
      <c r="I10" s="10"/>
      <c r="K10" s="10"/>
      <c r="L10" s="29">
        <v>0.5</v>
      </c>
      <c r="M10" s="29">
        <v>7</v>
      </c>
    </row>
    <row r="11" spans="2:15" x14ac:dyDescent="0.3">
      <c r="B11" s="38" t="s">
        <v>539</v>
      </c>
      <c r="C11" s="39">
        <v>12</v>
      </c>
      <c r="D11" s="29">
        <v>1</v>
      </c>
      <c r="E11" s="39">
        <v>44</v>
      </c>
      <c r="I11" s="10"/>
      <c r="K11" s="10"/>
      <c r="L11" s="29">
        <v>1</v>
      </c>
      <c r="M11" s="29">
        <v>1.5</v>
      </c>
    </row>
    <row r="12" spans="2:15" x14ac:dyDescent="0.3">
      <c r="B12" s="38" t="s">
        <v>540</v>
      </c>
      <c r="C12" s="39">
        <v>4.5</v>
      </c>
      <c r="D12" s="29">
        <v>0.5</v>
      </c>
      <c r="E12" s="39">
        <v>2</v>
      </c>
      <c r="I12" s="10"/>
      <c r="K12" s="10"/>
      <c r="L12" s="29">
        <v>0.5</v>
      </c>
      <c r="M12" s="29">
        <v>2</v>
      </c>
    </row>
    <row r="13" spans="2:15" x14ac:dyDescent="0.3">
      <c r="B13" s="38" t="s">
        <v>541</v>
      </c>
      <c r="C13" s="39">
        <v>3.5</v>
      </c>
      <c r="D13" s="29">
        <v>6.5</v>
      </c>
      <c r="E13" s="39">
        <v>1</v>
      </c>
      <c r="I13" s="10"/>
      <c r="K13" s="10"/>
      <c r="L13" s="29">
        <v>6.5</v>
      </c>
      <c r="M13" s="29">
        <v>1</v>
      </c>
    </row>
    <row r="14" spans="2:15" x14ac:dyDescent="0.3">
      <c r="B14" s="38" t="s">
        <v>155</v>
      </c>
      <c r="C14" s="39">
        <v>2</v>
      </c>
      <c r="D14" s="29">
        <v>3</v>
      </c>
      <c r="E14" s="39">
        <v>1</v>
      </c>
      <c r="I14" s="10"/>
      <c r="K14" s="10"/>
      <c r="L14" s="29">
        <v>3</v>
      </c>
      <c r="M14" s="29">
        <v>3</v>
      </c>
    </row>
    <row r="15" spans="2:15" x14ac:dyDescent="0.3">
      <c r="B15" s="38" t="s">
        <v>169</v>
      </c>
      <c r="C15" s="39">
        <v>1.5</v>
      </c>
      <c r="D15" s="29">
        <v>1.5</v>
      </c>
      <c r="E15" s="39">
        <v>90</v>
      </c>
      <c r="I15" s="10"/>
      <c r="K15" s="10"/>
      <c r="L15" s="29">
        <v>1.5</v>
      </c>
      <c r="M15" s="29">
        <v>4.5</v>
      </c>
    </row>
    <row r="16" spans="2:15" x14ac:dyDescent="0.3">
      <c r="B16" s="38" t="s">
        <v>168</v>
      </c>
      <c r="C16" s="39">
        <v>2</v>
      </c>
      <c r="D16" s="29">
        <v>0.5</v>
      </c>
      <c r="E16" s="39">
        <v>22.88</v>
      </c>
      <c r="I16" s="10"/>
      <c r="K16" s="10"/>
      <c r="L16" s="29">
        <v>0.5</v>
      </c>
      <c r="M16" s="29">
        <v>1</v>
      </c>
    </row>
    <row r="17" spans="2:13" x14ac:dyDescent="0.3">
      <c r="B17" s="38" t="s">
        <v>414</v>
      </c>
      <c r="C17" s="39">
        <v>2.5</v>
      </c>
      <c r="D17" s="29">
        <v>28</v>
      </c>
      <c r="E17" s="39">
        <v>11.25</v>
      </c>
      <c r="I17" s="10"/>
      <c r="K17" s="10"/>
      <c r="L17" s="29">
        <v>28</v>
      </c>
      <c r="M17" s="29">
        <v>1</v>
      </c>
    </row>
    <row r="18" spans="2:13" x14ac:dyDescent="0.3">
      <c r="B18" s="38" t="s">
        <v>244</v>
      </c>
      <c r="C18" s="39">
        <v>30</v>
      </c>
      <c r="D18" s="29">
        <v>20</v>
      </c>
      <c r="E18" s="39">
        <v>48.5</v>
      </c>
      <c r="I18" s="10"/>
      <c r="K18" s="10"/>
      <c r="L18" s="29">
        <v>20</v>
      </c>
      <c r="M18" s="29">
        <v>1.5</v>
      </c>
    </row>
    <row r="19" spans="2:13" x14ac:dyDescent="0.3">
      <c r="B19" s="38" t="s">
        <v>542</v>
      </c>
      <c r="C19" s="39">
        <v>15</v>
      </c>
      <c r="D19" s="29">
        <v>1</v>
      </c>
      <c r="E19" s="39">
        <v>55.5</v>
      </c>
      <c r="I19" s="10"/>
      <c r="K19" s="10"/>
      <c r="L19" s="29">
        <v>1</v>
      </c>
      <c r="M19" s="29">
        <v>2</v>
      </c>
    </row>
    <row r="20" spans="2:13" x14ac:dyDescent="0.3">
      <c r="B20" s="38" t="s">
        <v>235</v>
      </c>
      <c r="C20" s="39">
        <v>1</v>
      </c>
      <c r="D20" s="29">
        <v>4</v>
      </c>
      <c r="E20" s="39">
        <v>90</v>
      </c>
      <c r="I20" s="10"/>
      <c r="K20" s="10"/>
      <c r="L20" s="29">
        <v>4</v>
      </c>
      <c r="M20" s="29">
        <v>6</v>
      </c>
    </row>
    <row r="21" spans="2:13" x14ac:dyDescent="0.3">
      <c r="B21" s="38" t="s">
        <v>250</v>
      </c>
      <c r="C21" s="39">
        <v>4</v>
      </c>
      <c r="D21" s="29">
        <v>8</v>
      </c>
      <c r="E21" s="39">
        <v>29.25</v>
      </c>
      <c r="I21" s="10"/>
      <c r="K21" s="10"/>
      <c r="L21" s="29">
        <v>8</v>
      </c>
      <c r="M21" s="29">
        <v>4</v>
      </c>
    </row>
    <row r="22" spans="2:13" x14ac:dyDescent="0.3">
      <c r="B22" s="38" t="s">
        <v>543</v>
      </c>
      <c r="C22" s="39">
        <v>5</v>
      </c>
      <c r="D22" s="29">
        <v>1.5</v>
      </c>
      <c r="E22" s="39">
        <v>31.88</v>
      </c>
      <c r="I22" s="10"/>
      <c r="K22" s="10"/>
      <c r="L22" s="29">
        <v>1.5</v>
      </c>
      <c r="M22" s="29">
        <v>2</v>
      </c>
    </row>
    <row r="23" spans="2:13" x14ac:dyDescent="0.3">
      <c r="B23" s="38" t="s">
        <v>544</v>
      </c>
      <c r="C23" s="39">
        <v>17</v>
      </c>
      <c r="D23" s="29">
        <v>11</v>
      </c>
      <c r="E23" s="39"/>
      <c r="I23" s="10"/>
      <c r="K23" s="10"/>
      <c r="L23" s="29">
        <v>11</v>
      </c>
      <c r="M23" s="29">
        <v>2</v>
      </c>
    </row>
    <row r="24" spans="2:13" x14ac:dyDescent="0.3">
      <c r="B24" s="38" t="s">
        <v>540</v>
      </c>
      <c r="C24" s="39">
        <v>4.5</v>
      </c>
      <c r="D24" s="29">
        <v>2.5</v>
      </c>
      <c r="E24" s="40">
        <v>18</v>
      </c>
      <c r="H24" s="48"/>
      <c r="I24" s="10"/>
      <c r="K24" s="10"/>
      <c r="L24" s="29">
        <v>2.5</v>
      </c>
      <c r="M24" s="29">
        <v>8</v>
      </c>
    </row>
    <row r="25" spans="2:13" x14ac:dyDescent="0.3">
      <c r="B25" s="38" t="s">
        <v>545</v>
      </c>
      <c r="C25" s="39">
        <v>3.5</v>
      </c>
      <c r="D25" s="29">
        <v>1</v>
      </c>
      <c r="E25" s="40">
        <v>18</v>
      </c>
      <c r="H25" s="48"/>
      <c r="I25" s="10"/>
      <c r="K25" s="10"/>
      <c r="L25" s="29">
        <v>1</v>
      </c>
      <c r="M25" s="29">
        <v>1</v>
      </c>
    </row>
    <row r="26" spans="2:13" x14ac:dyDescent="0.3">
      <c r="B26" s="38" t="s">
        <v>186</v>
      </c>
      <c r="C26" s="39">
        <v>4.5</v>
      </c>
      <c r="D26" s="29">
        <v>2</v>
      </c>
      <c r="E26" s="40">
        <v>10</v>
      </c>
      <c r="H26" s="48"/>
      <c r="I26" s="10"/>
      <c r="K26" s="10"/>
      <c r="L26" s="29">
        <v>2</v>
      </c>
      <c r="M26" s="29">
        <v>13</v>
      </c>
    </row>
    <row r="27" spans="2:13" x14ac:dyDescent="0.3">
      <c r="B27" s="38" t="s">
        <v>545</v>
      </c>
      <c r="C27" s="39">
        <v>3.5</v>
      </c>
      <c r="D27" s="29">
        <v>0.5</v>
      </c>
      <c r="E27" s="40">
        <v>8</v>
      </c>
      <c r="H27" s="48"/>
      <c r="I27" s="10"/>
      <c r="K27" s="10"/>
      <c r="L27" s="29">
        <v>0.5</v>
      </c>
      <c r="M27" s="29">
        <v>3.5</v>
      </c>
    </row>
    <row r="28" spans="2:13" x14ac:dyDescent="0.3">
      <c r="B28" s="38" t="s">
        <v>546</v>
      </c>
      <c r="C28" s="39">
        <v>5</v>
      </c>
      <c r="D28" s="29">
        <v>1</v>
      </c>
      <c r="E28" s="40">
        <v>5</v>
      </c>
      <c r="H28" s="48"/>
      <c r="I28" s="10"/>
      <c r="K28" s="10"/>
      <c r="L28" s="29">
        <v>1</v>
      </c>
      <c r="M28" s="29">
        <v>5</v>
      </c>
    </row>
    <row r="29" spans="2:13" x14ac:dyDescent="0.3">
      <c r="B29" s="38" t="s">
        <v>348</v>
      </c>
      <c r="C29" s="39">
        <v>2</v>
      </c>
      <c r="D29" s="29">
        <v>12.5</v>
      </c>
      <c r="E29" s="40">
        <v>18</v>
      </c>
      <c r="H29" s="48"/>
      <c r="I29" s="10"/>
      <c r="K29" s="10"/>
      <c r="L29" s="29">
        <v>12.5</v>
      </c>
      <c r="M29" s="29">
        <v>4</v>
      </c>
    </row>
    <row r="30" spans="2:13" x14ac:dyDescent="0.3">
      <c r="B30" s="38" t="s">
        <v>155</v>
      </c>
      <c r="C30" s="39">
        <v>2</v>
      </c>
      <c r="D30" s="29">
        <v>5</v>
      </c>
      <c r="E30" s="40">
        <v>2.5</v>
      </c>
      <c r="H30" s="48"/>
      <c r="I30" s="10"/>
      <c r="K30" s="10"/>
      <c r="L30" s="29">
        <v>5</v>
      </c>
      <c r="M30" s="29">
        <v>2.5</v>
      </c>
    </row>
    <row r="31" spans="2:13" x14ac:dyDescent="0.3">
      <c r="B31" s="38" t="s">
        <v>211</v>
      </c>
      <c r="C31" s="39">
        <v>0.5</v>
      </c>
      <c r="D31" s="29">
        <v>0.5</v>
      </c>
      <c r="E31" s="40">
        <v>22</v>
      </c>
      <c r="H31" s="48"/>
      <c r="I31" s="10"/>
      <c r="K31" s="10"/>
      <c r="L31" s="29">
        <v>0.5</v>
      </c>
      <c r="M31" s="29">
        <v>6.5</v>
      </c>
    </row>
    <row r="32" spans="2:13" x14ac:dyDescent="0.3">
      <c r="B32" s="38" t="s">
        <v>540</v>
      </c>
      <c r="C32" s="39">
        <v>4.5</v>
      </c>
      <c r="D32" s="29">
        <v>3</v>
      </c>
      <c r="E32" s="40">
        <v>9</v>
      </c>
      <c r="H32" s="48"/>
      <c r="I32" s="10"/>
      <c r="K32" s="10"/>
      <c r="L32" s="29">
        <v>3</v>
      </c>
      <c r="M32" s="29">
        <v>2</v>
      </c>
    </row>
    <row r="33" spans="2:17" x14ac:dyDescent="0.3">
      <c r="B33" s="38" t="s">
        <v>547</v>
      </c>
      <c r="C33" s="39">
        <v>8</v>
      </c>
      <c r="D33" s="29">
        <v>20.5</v>
      </c>
      <c r="E33" s="40">
        <v>25</v>
      </c>
      <c r="H33" s="48"/>
      <c r="I33" s="12"/>
      <c r="K33" s="10"/>
      <c r="L33" s="29">
        <v>20.5</v>
      </c>
      <c r="M33" s="29">
        <v>1.5</v>
      </c>
    </row>
    <row r="34" spans="2:17" x14ac:dyDescent="0.3">
      <c r="B34" s="38" t="s">
        <v>548</v>
      </c>
      <c r="C34" s="39">
        <v>2</v>
      </c>
      <c r="D34" s="29">
        <v>0.5</v>
      </c>
      <c r="E34" s="40">
        <v>26</v>
      </c>
      <c r="H34" s="48"/>
      <c r="I34" s="10"/>
      <c r="K34" s="10"/>
      <c r="L34" s="29">
        <v>0.5</v>
      </c>
      <c r="M34" s="29">
        <v>1.5</v>
      </c>
    </row>
    <row r="35" spans="2:17" x14ac:dyDescent="0.3">
      <c r="B35" s="38" t="s">
        <v>238</v>
      </c>
      <c r="C35" s="39">
        <v>2.5</v>
      </c>
      <c r="D35" s="29">
        <v>2</v>
      </c>
      <c r="E35" s="40">
        <v>5</v>
      </c>
      <c r="H35" s="48"/>
      <c r="I35" s="10"/>
      <c r="K35" s="10"/>
      <c r="L35" s="29">
        <v>2</v>
      </c>
      <c r="M35" s="29">
        <v>18</v>
      </c>
    </row>
    <row r="36" spans="2:17" x14ac:dyDescent="0.3">
      <c r="B36" s="38" t="s">
        <v>549</v>
      </c>
      <c r="C36" s="39">
        <v>5</v>
      </c>
      <c r="D36" s="29">
        <v>1</v>
      </c>
      <c r="E36" s="40">
        <v>10.8</v>
      </c>
      <c r="H36" s="48"/>
      <c r="I36" s="10"/>
      <c r="K36" s="10"/>
      <c r="L36" s="29">
        <v>1</v>
      </c>
      <c r="M36" s="29">
        <v>1.5</v>
      </c>
      <c r="Q36" s="10"/>
    </row>
    <row r="37" spans="2:17" x14ac:dyDescent="0.3">
      <c r="B37" s="38" t="s">
        <v>550</v>
      </c>
      <c r="C37" s="39">
        <v>2</v>
      </c>
      <c r="D37" s="29">
        <v>1</v>
      </c>
      <c r="E37" s="108">
        <f>SUM(E24:E36)</f>
        <v>177.3</v>
      </c>
      <c r="H37" s="10"/>
      <c r="K37" s="10"/>
      <c r="L37" s="29">
        <v>1</v>
      </c>
      <c r="M37" s="29">
        <v>0.5</v>
      </c>
    </row>
    <row r="38" spans="2:17" x14ac:dyDescent="0.3">
      <c r="B38" s="38" t="s">
        <v>211</v>
      </c>
      <c r="C38" s="39">
        <v>1</v>
      </c>
      <c r="D38" s="29">
        <v>2.5</v>
      </c>
      <c r="E38" s="40"/>
      <c r="I38" s="10"/>
      <c r="K38" s="10"/>
      <c r="L38" s="29">
        <v>2.5</v>
      </c>
      <c r="M38" s="29">
        <v>17</v>
      </c>
    </row>
    <row r="39" spans="2:17" x14ac:dyDescent="0.3">
      <c r="B39" s="38" t="s">
        <v>551</v>
      </c>
      <c r="C39" s="39">
        <v>5</v>
      </c>
      <c r="D39" s="29">
        <v>2.5</v>
      </c>
      <c r="E39" s="40"/>
      <c r="I39" s="10"/>
      <c r="K39" s="10"/>
      <c r="L39" s="29">
        <v>2.5</v>
      </c>
      <c r="M39" s="29">
        <v>1</v>
      </c>
    </row>
    <row r="40" spans="2:17" x14ac:dyDescent="0.3">
      <c r="B40" s="38" t="s">
        <v>552</v>
      </c>
      <c r="C40" s="39">
        <v>3.5</v>
      </c>
      <c r="D40" s="29">
        <v>15</v>
      </c>
      <c r="E40" s="40"/>
      <c r="I40" s="10"/>
      <c r="K40" s="10"/>
      <c r="L40" s="29">
        <v>15</v>
      </c>
      <c r="M40" s="29">
        <v>3.5</v>
      </c>
    </row>
    <row r="41" spans="2:17" x14ac:dyDescent="0.3">
      <c r="B41" s="38" t="s">
        <v>553</v>
      </c>
      <c r="C41" s="39">
        <v>8</v>
      </c>
      <c r="D41" s="29">
        <v>1</v>
      </c>
      <c r="E41" s="40"/>
      <c r="I41" s="10"/>
      <c r="K41" s="10"/>
      <c r="L41" s="29">
        <v>1</v>
      </c>
      <c r="M41" s="29">
        <v>0.5</v>
      </c>
    </row>
    <row r="42" spans="2:17" x14ac:dyDescent="0.3">
      <c r="B42" s="38" t="s">
        <v>161</v>
      </c>
      <c r="C42" s="39">
        <v>2</v>
      </c>
      <c r="D42" s="29">
        <v>0.5</v>
      </c>
      <c r="E42" s="40"/>
      <c r="I42" s="10"/>
      <c r="K42" s="10"/>
      <c r="L42" s="29">
        <v>0.5</v>
      </c>
      <c r="M42" s="29">
        <v>0.5</v>
      </c>
    </row>
    <row r="43" spans="2:17" x14ac:dyDescent="0.3">
      <c r="B43" s="38" t="s">
        <v>186</v>
      </c>
      <c r="C43" s="39">
        <v>5</v>
      </c>
      <c r="D43" s="29">
        <v>1</v>
      </c>
      <c r="E43" s="40"/>
      <c r="I43" s="10"/>
      <c r="K43" s="10"/>
      <c r="L43" s="29">
        <v>1</v>
      </c>
      <c r="M43" s="29">
        <v>4.75</v>
      </c>
    </row>
    <row r="44" spans="2:17" x14ac:dyDescent="0.3">
      <c r="B44" s="38" t="s">
        <v>542</v>
      </c>
      <c r="C44" s="39">
        <v>15</v>
      </c>
      <c r="D44" s="29">
        <v>2</v>
      </c>
      <c r="E44" s="40"/>
      <c r="I44" s="10"/>
      <c r="K44" s="10"/>
      <c r="L44" s="29">
        <v>2</v>
      </c>
      <c r="M44" s="29">
        <v>2</v>
      </c>
    </row>
    <row r="45" spans="2:17" x14ac:dyDescent="0.3">
      <c r="B45" s="38" t="s">
        <v>554</v>
      </c>
      <c r="C45" s="39">
        <v>4</v>
      </c>
      <c r="D45" s="29">
        <v>0.5</v>
      </c>
      <c r="E45" s="40"/>
      <c r="I45" s="10"/>
      <c r="K45" s="10"/>
      <c r="L45" s="29">
        <v>0.5</v>
      </c>
      <c r="M45" s="29">
        <v>5</v>
      </c>
    </row>
    <row r="46" spans="2:17" x14ac:dyDescent="0.3">
      <c r="B46" s="38" t="s">
        <v>222</v>
      </c>
      <c r="C46" s="39">
        <v>4</v>
      </c>
      <c r="D46" s="29">
        <v>0.5</v>
      </c>
      <c r="E46" s="40"/>
      <c r="I46" s="10"/>
      <c r="K46" s="10"/>
      <c r="L46" s="29">
        <v>0.5</v>
      </c>
      <c r="M46" s="29">
        <v>2</v>
      </c>
    </row>
    <row r="47" spans="2:17" x14ac:dyDescent="0.3">
      <c r="B47" s="38" t="s">
        <v>222</v>
      </c>
      <c r="C47" s="39">
        <v>4</v>
      </c>
      <c r="D47" s="46">
        <v>0.5</v>
      </c>
      <c r="E47" s="40"/>
      <c r="I47" s="10"/>
      <c r="K47" s="10"/>
      <c r="L47" s="29">
        <v>0.5</v>
      </c>
      <c r="M47" s="29">
        <v>0.5</v>
      </c>
    </row>
    <row r="48" spans="2:17" x14ac:dyDescent="0.3">
      <c r="B48" s="38" t="s">
        <v>540</v>
      </c>
      <c r="C48" s="39">
        <v>4.5</v>
      </c>
      <c r="D48" s="29">
        <v>5.5</v>
      </c>
      <c r="E48" s="40"/>
      <c r="I48" s="10"/>
      <c r="K48" s="10"/>
      <c r="L48" s="29"/>
      <c r="M48" s="29">
        <v>1</v>
      </c>
    </row>
    <row r="49" spans="2:14" x14ac:dyDescent="0.3">
      <c r="B49" s="38" t="s">
        <v>379</v>
      </c>
      <c r="C49" s="39">
        <v>3</v>
      </c>
      <c r="D49" s="29">
        <v>1.5</v>
      </c>
      <c r="E49" s="40"/>
      <c r="I49" s="10"/>
      <c r="K49" s="10"/>
      <c r="L49" s="29"/>
      <c r="M49" s="29">
        <v>20</v>
      </c>
    </row>
    <row r="50" spans="2:14" x14ac:dyDescent="0.3">
      <c r="B50" s="38" t="s">
        <v>540</v>
      </c>
      <c r="C50" s="39">
        <v>4.5</v>
      </c>
      <c r="D50" s="29">
        <v>3</v>
      </c>
      <c r="E50" s="40"/>
      <c r="I50" s="10"/>
      <c r="K50" s="10"/>
      <c r="L50" s="29"/>
      <c r="M50" s="29">
        <v>2</v>
      </c>
    </row>
    <row r="51" spans="2:14" x14ac:dyDescent="0.3">
      <c r="B51" s="38" t="s">
        <v>555</v>
      </c>
      <c r="C51" s="39">
        <v>1</v>
      </c>
      <c r="D51" s="29">
        <v>4</v>
      </c>
      <c r="E51" s="40"/>
      <c r="I51" s="10"/>
      <c r="K51" s="10"/>
      <c r="L51" s="71"/>
      <c r="M51" s="29">
        <v>2</v>
      </c>
    </row>
    <row r="52" spans="2:14" x14ac:dyDescent="0.3">
      <c r="B52" s="38" t="s">
        <v>174</v>
      </c>
      <c r="C52" s="39">
        <v>1</v>
      </c>
      <c r="D52" s="29">
        <v>2</v>
      </c>
      <c r="E52" s="40"/>
      <c r="I52" s="10"/>
      <c r="K52" s="10"/>
      <c r="L52" s="71"/>
      <c r="M52" s="29">
        <v>0.25</v>
      </c>
    </row>
    <row r="53" spans="2:14" x14ac:dyDescent="0.3">
      <c r="B53" s="38" t="s">
        <v>540</v>
      </c>
      <c r="C53" s="39">
        <v>4.5</v>
      </c>
      <c r="D53" s="29">
        <v>7</v>
      </c>
      <c r="E53" s="40"/>
      <c r="I53" s="10"/>
      <c r="K53" s="10"/>
      <c r="M53" s="29">
        <v>1.5</v>
      </c>
    </row>
    <row r="54" spans="2:14" x14ac:dyDescent="0.3">
      <c r="B54" s="38" t="s">
        <v>153</v>
      </c>
      <c r="C54" s="39">
        <v>2</v>
      </c>
      <c r="D54" s="29">
        <v>1.5</v>
      </c>
      <c r="E54" s="40"/>
      <c r="I54" s="10"/>
      <c r="K54" s="10"/>
      <c r="M54" s="30">
        <v>60</v>
      </c>
    </row>
    <row r="55" spans="2:14" x14ac:dyDescent="0.3">
      <c r="B55" s="38" t="s">
        <v>174</v>
      </c>
      <c r="C55" s="39">
        <v>1</v>
      </c>
      <c r="D55" s="29">
        <v>2</v>
      </c>
      <c r="E55" s="40"/>
      <c r="I55" s="10"/>
      <c r="K55" s="10"/>
    </row>
    <row r="56" spans="2:14" x14ac:dyDescent="0.3">
      <c r="B56" s="38" t="s">
        <v>365</v>
      </c>
      <c r="C56" s="39">
        <v>30</v>
      </c>
      <c r="D56" s="29">
        <v>1</v>
      </c>
      <c r="E56" s="40"/>
      <c r="I56" s="10"/>
      <c r="K56" s="10"/>
      <c r="L56" s="29">
        <f>SUM(L5:L47)</f>
        <v>192</v>
      </c>
      <c r="M56" s="29">
        <f>SUM(M5:M54)</f>
        <v>246.5</v>
      </c>
      <c r="N56" s="10">
        <f>L56+M56</f>
        <v>438.5</v>
      </c>
    </row>
    <row r="57" spans="2:14" x14ac:dyDescent="0.3">
      <c r="B57" s="38" t="s">
        <v>153</v>
      </c>
      <c r="C57" s="39">
        <v>2.5</v>
      </c>
      <c r="D57" s="29">
        <v>3</v>
      </c>
      <c r="E57" s="40"/>
      <c r="I57" s="10"/>
      <c r="K57" s="10"/>
    </row>
    <row r="58" spans="2:14" x14ac:dyDescent="0.3">
      <c r="B58" s="38" t="s">
        <v>261</v>
      </c>
      <c r="C58" s="39">
        <v>1</v>
      </c>
      <c r="D58" s="29">
        <v>4.5</v>
      </c>
      <c r="E58" s="40"/>
      <c r="I58" s="10"/>
      <c r="K58" s="10"/>
    </row>
    <row r="59" spans="2:14" x14ac:dyDescent="0.3">
      <c r="B59" s="38" t="s">
        <v>540</v>
      </c>
      <c r="C59" s="39">
        <v>4.5</v>
      </c>
      <c r="D59" s="29">
        <v>1</v>
      </c>
      <c r="E59" s="40"/>
      <c r="I59" s="10"/>
      <c r="K59" s="10"/>
    </row>
    <row r="60" spans="2:14" x14ac:dyDescent="0.3">
      <c r="B60" s="38" t="s">
        <v>388</v>
      </c>
      <c r="C60" s="39">
        <v>1.5</v>
      </c>
      <c r="D60" s="29">
        <v>1</v>
      </c>
      <c r="E60" s="40"/>
      <c r="I60" s="10"/>
      <c r="K60" s="10"/>
    </row>
    <row r="61" spans="2:14" x14ac:dyDescent="0.3">
      <c r="B61" s="38" t="s">
        <v>540</v>
      </c>
      <c r="C61" s="39">
        <v>4.5</v>
      </c>
      <c r="D61" s="29">
        <v>1.5</v>
      </c>
      <c r="E61" s="40"/>
      <c r="I61" s="10"/>
      <c r="K61" s="10"/>
    </row>
    <row r="62" spans="2:14" x14ac:dyDescent="0.3">
      <c r="B62" s="38" t="s">
        <v>540</v>
      </c>
      <c r="C62" s="39">
        <v>4.5</v>
      </c>
      <c r="D62" s="29">
        <v>2</v>
      </c>
      <c r="E62" s="40"/>
      <c r="I62" s="10"/>
      <c r="K62" s="10"/>
    </row>
    <row r="63" spans="2:14" x14ac:dyDescent="0.3">
      <c r="B63" s="38" t="s">
        <v>556</v>
      </c>
      <c r="C63" s="39">
        <v>1</v>
      </c>
      <c r="D63" s="29">
        <v>6</v>
      </c>
      <c r="E63" s="40"/>
      <c r="I63" s="10"/>
      <c r="K63" s="10"/>
    </row>
    <row r="64" spans="2:14" x14ac:dyDescent="0.3">
      <c r="B64" s="38" t="s">
        <v>222</v>
      </c>
      <c r="C64" s="39">
        <v>4</v>
      </c>
      <c r="D64" s="29">
        <v>4</v>
      </c>
      <c r="E64" s="40"/>
      <c r="I64" s="10"/>
    </row>
    <row r="65" spans="2:11" x14ac:dyDescent="0.3">
      <c r="B65" s="38" t="s">
        <v>227</v>
      </c>
      <c r="C65" s="39">
        <v>2</v>
      </c>
      <c r="D65" s="29">
        <v>2</v>
      </c>
      <c r="E65" s="40"/>
      <c r="I65" s="10"/>
      <c r="K65" s="12"/>
    </row>
    <row r="66" spans="2:11" x14ac:dyDescent="0.3">
      <c r="B66" s="38" t="s">
        <v>222</v>
      </c>
      <c r="C66" s="39">
        <v>4</v>
      </c>
      <c r="D66" s="29">
        <v>2</v>
      </c>
      <c r="E66" s="40"/>
      <c r="I66" s="10"/>
    </row>
    <row r="67" spans="2:11" x14ac:dyDescent="0.3">
      <c r="B67" s="38" t="s">
        <v>222</v>
      </c>
      <c r="C67" s="39">
        <v>4</v>
      </c>
      <c r="D67" s="29">
        <v>8</v>
      </c>
      <c r="E67" s="40"/>
      <c r="I67" s="10"/>
    </row>
    <row r="68" spans="2:11" x14ac:dyDescent="0.3">
      <c r="B68" s="38" t="s">
        <v>358</v>
      </c>
      <c r="C68" s="39">
        <v>1.5</v>
      </c>
      <c r="D68" s="29">
        <v>1</v>
      </c>
      <c r="E68" s="40"/>
      <c r="I68" s="10"/>
    </row>
    <row r="69" spans="2:11" x14ac:dyDescent="0.3">
      <c r="B69" s="38" t="s">
        <v>540</v>
      </c>
      <c r="C69" s="39">
        <v>4.5</v>
      </c>
      <c r="D69" s="29">
        <v>13</v>
      </c>
      <c r="E69" s="40"/>
      <c r="I69" s="10"/>
    </row>
    <row r="70" spans="2:11" x14ac:dyDescent="0.3">
      <c r="B70" s="38" t="s">
        <v>161</v>
      </c>
      <c r="C70" s="39">
        <v>2</v>
      </c>
      <c r="D70" s="29">
        <v>3.5</v>
      </c>
      <c r="E70" s="40"/>
      <c r="I70" s="10"/>
    </row>
    <row r="71" spans="2:11" x14ac:dyDescent="0.3">
      <c r="B71" s="38" t="s">
        <v>545</v>
      </c>
      <c r="C71" s="39">
        <v>3.5</v>
      </c>
      <c r="D71" s="29">
        <v>5</v>
      </c>
      <c r="E71" s="40"/>
      <c r="I71" s="10"/>
    </row>
    <row r="72" spans="2:11" x14ac:dyDescent="0.3">
      <c r="B72" s="38" t="s">
        <v>557</v>
      </c>
      <c r="C72" s="39">
        <v>17</v>
      </c>
      <c r="D72" s="29">
        <v>4</v>
      </c>
      <c r="E72" s="40"/>
      <c r="I72" s="10"/>
    </row>
    <row r="73" spans="2:11" x14ac:dyDescent="0.3">
      <c r="B73" s="38" t="s">
        <v>235</v>
      </c>
      <c r="C73" s="39">
        <v>1</v>
      </c>
      <c r="D73" s="29">
        <v>2.5</v>
      </c>
      <c r="E73" s="40"/>
      <c r="I73" s="10"/>
    </row>
    <row r="74" spans="2:11" x14ac:dyDescent="0.3">
      <c r="B74" s="38" t="s">
        <v>184</v>
      </c>
      <c r="C74" s="39">
        <v>2.5</v>
      </c>
      <c r="D74" s="29">
        <v>6.5</v>
      </c>
      <c r="E74" s="40"/>
      <c r="I74" s="10"/>
    </row>
    <row r="75" spans="2:11" x14ac:dyDescent="0.3">
      <c r="B75" s="38" t="s">
        <v>558</v>
      </c>
      <c r="C75" s="39">
        <v>20</v>
      </c>
      <c r="D75" s="29">
        <v>2</v>
      </c>
      <c r="E75" s="40"/>
      <c r="I75" s="10"/>
    </row>
    <row r="76" spans="2:11" x14ac:dyDescent="0.3">
      <c r="B76" s="38" t="s">
        <v>263</v>
      </c>
      <c r="C76" s="39">
        <v>6</v>
      </c>
      <c r="D76" s="29">
        <v>1.5</v>
      </c>
      <c r="E76" s="40"/>
      <c r="I76" s="10"/>
    </row>
    <row r="77" spans="2:11" x14ac:dyDescent="0.3">
      <c r="B77" s="38" t="s">
        <v>545</v>
      </c>
      <c r="C77" s="39">
        <v>3.5</v>
      </c>
      <c r="D77" s="29">
        <v>1.5</v>
      </c>
      <c r="E77" s="40"/>
      <c r="I77" s="10"/>
    </row>
    <row r="78" spans="2:11" x14ac:dyDescent="0.3">
      <c r="B78" s="38" t="s">
        <v>379</v>
      </c>
      <c r="C78" s="39">
        <v>3</v>
      </c>
      <c r="D78" s="29">
        <v>18</v>
      </c>
      <c r="E78" s="40"/>
      <c r="I78" s="10"/>
    </row>
    <row r="79" spans="2:11" x14ac:dyDescent="0.3">
      <c r="B79" s="38" t="s">
        <v>371</v>
      </c>
      <c r="C79" s="39">
        <v>4</v>
      </c>
      <c r="D79" s="29">
        <v>1.5</v>
      </c>
      <c r="E79" s="39"/>
      <c r="I79" s="10"/>
    </row>
    <row r="80" spans="2:11" x14ac:dyDescent="0.3">
      <c r="B80" s="38" t="s">
        <v>171</v>
      </c>
      <c r="C80" s="39">
        <v>13</v>
      </c>
      <c r="D80" s="29">
        <v>0.5</v>
      </c>
      <c r="E80" s="39"/>
      <c r="I80" s="10"/>
    </row>
    <row r="81" spans="2:9" x14ac:dyDescent="0.3">
      <c r="B81" s="38" t="s">
        <v>559</v>
      </c>
      <c r="C81" s="39">
        <v>4.5</v>
      </c>
      <c r="D81" s="29">
        <v>17</v>
      </c>
      <c r="E81" s="39"/>
      <c r="I81" s="10"/>
    </row>
    <row r="82" spans="2:9" x14ac:dyDescent="0.3">
      <c r="B82" s="38" t="s">
        <v>560</v>
      </c>
      <c r="C82" s="39">
        <v>4</v>
      </c>
      <c r="D82" s="29">
        <v>1</v>
      </c>
      <c r="E82" s="39"/>
      <c r="I82" s="10"/>
    </row>
    <row r="83" spans="2:9" x14ac:dyDescent="0.3">
      <c r="B83" s="38" t="s">
        <v>211</v>
      </c>
      <c r="C83" s="39">
        <v>1</v>
      </c>
      <c r="D83" s="29">
        <v>3.5</v>
      </c>
      <c r="E83" s="39"/>
      <c r="I83" s="10"/>
    </row>
    <row r="84" spans="2:9" x14ac:dyDescent="0.3">
      <c r="B84" s="38" t="s">
        <v>561</v>
      </c>
      <c r="C84" s="39">
        <v>3</v>
      </c>
      <c r="D84" s="29">
        <v>0.5</v>
      </c>
      <c r="E84" s="39"/>
      <c r="I84" s="10"/>
    </row>
    <row r="85" spans="2:9" x14ac:dyDescent="0.3">
      <c r="B85" s="38" t="s">
        <v>246</v>
      </c>
      <c r="C85" s="39">
        <v>2</v>
      </c>
      <c r="D85" s="29">
        <v>0.5</v>
      </c>
      <c r="E85" s="39"/>
      <c r="I85" s="10"/>
    </row>
    <row r="86" spans="2:9" x14ac:dyDescent="0.3">
      <c r="B86" s="38" t="s">
        <v>562</v>
      </c>
      <c r="C86" s="39">
        <v>1</v>
      </c>
      <c r="D86" s="29">
        <v>4.75</v>
      </c>
      <c r="E86" s="39"/>
      <c r="I86" s="10"/>
    </row>
    <row r="87" spans="2:9" x14ac:dyDescent="0.3">
      <c r="B87" s="38" t="s">
        <v>540</v>
      </c>
      <c r="C87" s="39">
        <v>4.5</v>
      </c>
      <c r="D87" s="29">
        <v>2</v>
      </c>
      <c r="E87" s="39"/>
      <c r="I87" s="10"/>
    </row>
    <row r="88" spans="2:9" x14ac:dyDescent="0.3">
      <c r="B88" s="38" t="s">
        <v>365</v>
      </c>
      <c r="C88" s="39">
        <v>30</v>
      </c>
      <c r="D88" s="29">
        <v>5</v>
      </c>
      <c r="E88" s="39"/>
      <c r="I88" s="10"/>
    </row>
    <row r="89" spans="2:9" x14ac:dyDescent="0.3">
      <c r="B89" s="38" t="s">
        <v>563</v>
      </c>
      <c r="C89" s="39">
        <v>2</v>
      </c>
      <c r="D89" s="29">
        <v>2</v>
      </c>
      <c r="E89" s="39"/>
      <c r="I89" s="10"/>
    </row>
    <row r="90" spans="2:9" x14ac:dyDescent="0.3">
      <c r="B90" s="38" t="s">
        <v>552</v>
      </c>
      <c r="C90" s="39">
        <v>3.5</v>
      </c>
      <c r="D90" s="29">
        <v>0.5</v>
      </c>
      <c r="E90" s="39"/>
      <c r="I90" s="10"/>
    </row>
    <row r="91" spans="2:9" x14ac:dyDescent="0.3">
      <c r="B91" s="38" t="s">
        <v>256</v>
      </c>
      <c r="C91" s="39">
        <v>2</v>
      </c>
      <c r="D91" s="29">
        <v>1</v>
      </c>
      <c r="E91" s="39"/>
      <c r="I91" s="10"/>
    </row>
    <row r="92" spans="2:9" x14ac:dyDescent="0.3">
      <c r="B92" s="38" t="s">
        <v>564</v>
      </c>
      <c r="C92" s="39">
        <v>8</v>
      </c>
      <c r="D92" s="29">
        <v>20</v>
      </c>
      <c r="E92" s="39"/>
      <c r="I92" s="10"/>
    </row>
    <row r="93" spans="2:9" x14ac:dyDescent="0.3">
      <c r="B93" s="38" t="s">
        <v>565</v>
      </c>
      <c r="C93" s="39">
        <v>6</v>
      </c>
      <c r="D93" s="29">
        <v>2</v>
      </c>
      <c r="E93" s="39"/>
      <c r="I93" s="10"/>
    </row>
    <row r="94" spans="2:9" x14ac:dyDescent="0.3">
      <c r="B94" s="38" t="s">
        <v>242</v>
      </c>
      <c r="C94" s="39">
        <v>1.5</v>
      </c>
      <c r="D94" s="29">
        <v>2</v>
      </c>
      <c r="E94" s="39"/>
      <c r="I94" s="10"/>
    </row>
    <row r="95" spans="2:9" x14ac:dyDescent="0.3">
      <c r="B95" s="38" t="s">
        <v>566</v>
      </c>
      <c r="C95" s="39">
        <v>6</v>
      </c>
      <c r="D95" s="29">
        <v>0.25</v>
      </c>
      <c r="E95" s="39"/>
    </row>
    <row r="96" spans="2:9" x14ac:dyDescent="0.3">
      <c r="B96" s="38" t="s">
        <v>567</v>
      </c>
      <c r="C96" s="39">
        <v>0.5</v>
      </c>
      <c r="D96" s="39">
        <v>1.5</v>
      </c>
      <c r="E96" s="39"/>
    </row>
    <row r="97" spans="2:5" x14ac:dyDescent="0.3">
      <c r="B97" s="38" t="s">
        <v>568</v>
      </c>
      <c r="C97" s="39">
        <v>5</v>
      </c>
      <c r="D97" s="39"/>
      <c r="E97" s="39"/>
    </row>
    <row r="98" spans="2:5" x14ac:dyDescent="0.3">
      <c r="B98" s="38" t="s">
        <v>379</v>
      </c>
      <c r="C98" s="39">
        <v>3</v>
      </c>
      <c r="D98" s="39"/>
      <c r="E98" s="39"/>
    </row>
    <row r="99" spans="2:5" x14ac:dyDescent="0.3">
      <c r="B99" s="38" t="s">
        <v>562</v>
      </c>
      <c r="C99" s="39">
        <v>1</v>
      </c>
      <c r="D99" s="39"/>
      <c r="E99" s="39"/>
    </row>
    <row r="100" spans="2:5" x14ac:dyDescent="0.3">
      <c r="B100" s="38" t="s">
        <v>174</v>
      </c>
      <c r="C100" s="39">
        <v>1</v>
      </c>
      <c r="D100" s="39"/>
      <c r="E100" s="39"/>
    </row>
    <row r="101" spans="2:5" x14ac:dyDescent="0.3">
      <c r="B101" s="38" t="s">
        <v>540</v>
      </c>
      <c r="C101" s="39">
        <v>4.5</v>
      </c>
      <c r="D101" s="39"/>
      <c r="E101" s="39"/>
    </row>
    <row r="102" spans="2:5" x14ac:dyDescent="0.3">
      <c r="B102" s="38" t="s">
        <v>350</v>
      </c>
      <c r="C102" s="39">
        <v>5</v>
      </c>
      <c r="D102" s="39"/>
      <c r="E102" s="39"/>
    </row>
    <row r="103" spans="2:5" x14ac:dyDescent="0.3">
      <c r="B103" s="38" t="s">
        <v>569</v>
      </c>
      <c r="C103" s="39">
        <v>4.5</v>
      </c>
      <c r="D103" s="39"/>
      <c r="E103" s="39"/>
    </row>
    <row r="104" spans="2:5" x14ac:dyDescent="0.3">
      <c r="B104" s="38" t="s">
        <v>540</v>
      </c>
      <c r="C104" s="39">
        <v>4.5</v>
      </c>
      <c r="D104" s="39"/>
      <c r="E104" s="39"/>
    </row>
    <row r="105" spans="2:5" x14ac:dyDescent="0.3">
      <c r="B105" s="38" t="s">
        <v>540</v>
      </c>
      <c r="C105" s="39">
        <v>4.5</v>
      </c>
      <c r="D105" s="39"/>
      <c r="E105" s="39"/>
    </row>
    <row r="106" spans="2:5" x14ac:dyDescent="0.3">
      <c r="B106" s="38" t="s">
        <v>365</v>
      </c>
      <c r="C106" s="39">
        <v>30</v>
      </c>
      <c r="D106" s="39"/>
      <c r="E106" s="39"/>
    </row>
    <row r="107" spans="2:5" x14ac:dyDescent="0.3">
      <c r="B107" s="38" t="s">
        <v>570</v>
      </c>
      <c r="C107" s="39">
        <v>6</v>
      </c>
      <c r="D107" s="39"/>
      <c r="E107" s="39"/>
    </row>
    <row r="108" spans="2:5" x14ac:dyDescent="0.3">
      <c r="B108" s="38" t="s">
        <v>388</v>
      </c>
      <c r="C108" s="39">
        <v>1.5</v>
      </c>
      <c r="D108" s="39"/>
      <c r="E108" s="39"/>
    </row>
    <row r="109" spans="2:5" x14ac:dyDescent="0.3">
      <c r="B109" s="38" t="s">
        <v>571</v>
      </c>
      <c r="C109" s="39">
        <v>4.5</v>
      </c>
      <c r="D109" s="39"/>
      <c r="E109" s="39"/>
    </row>
    <row r="110" spans="2:5" x14ac:dyDescent="0.3">
      <c r="B110" s="38" t="s">
        <v>572</v>
      </c>
      <c r="C110" s="39">
        <v>1</v>
      </c>
      <c r="D110" s="39"/>
      <c r="E110" s="39"/>
    </row>
    <row r="111" spans="2:5" x14ac:dyDescent="0.3">
      <c r="B111" s="38" t="s">
        <v>540</v>
      </c>
      <c r="C111" s="39">
        <v>4.5</v>
      </c>
      <c r="D111" s="39"/>
      <c r="E111" s="39"/>
    </row>
    <row r="112" spans="2:5" x14ac:dyDescent="0.3">
      <c r="B112" s="38" t="s">
        <v>161</v>
      </c>
      <c r="C112" s="39">
        <v>2</v>
      </c>
      <c r="D112" s="39"/>
      <c r="E112" s="39"/>
    </row>
    <row r="113" spans="2:5" x14ac:dyDescent="0.3">
      <c r="B113" s="38" t="s">
        <v>351</v>
      </c>
      <c r="C113" s="39">
        <v>1.5</v>
      </c>
      <c r="D113" s="39"/>
      <c r="E113" s="39"/>
    </row>
    <row r="114" spans="2:5" x14ac:dyDescent="0.3">
      <c r="B114" s="38" t="s">
        <v>573</v>
      </c>
      <c r="C114" s="39">
        <v>2</v>
      </c>
      <c r="D114" s="39"/>
      <c r="E114" s="39"/>
    </row>
    <row r="115" spans="2:5" x14ac:dyDescent="0.3">
      <c r="B115" s="38" t="s">
        <v>574</v>
      </c>
      <c r="C115" s="39">
        <v>4</v>
      </c>
      <c r="D115" s="39"/>
      <c r="E115" s="39"/>
    </row>
    <row r="116" spans="2:5" x14ac:dyDescent="0.3">
      <c r="B116" s="38" t="s">
        <v>575</v>
      </c>
      <c r="C116" s="39">
        <v>11.5</v>
      </c>
      <c r="D116" s="39"/>
      <c r="E116" s="39"/>
    </row>
    <row r="117" spans="2:5" x14ac:dyDescent="0.3">
      <c r="B117" s="38" t="s">
        <v>540</v>
      </c>
      <c r="C117" s="39">
        <v>4.5</v>
      </c>
      <c r="D117" s="39"/>
      <c r="E117" s="39"/>
    </row>
    <row r="118" spans="2:5" x14ac:dyDescent="0.3">
      <c r="B118" s="38" t="s">
        <v>379</v>
      </c>
      <c r="C118" s="39">
        <v>3</v>
      </c>
      <c r="D118" s="39"/>
      <c r="E118" s="39"/>
    </row>
    <row r="119" spans="2:5" x14ac:dyDescent="0.3">
      <c r="B119" s="38" t="s">
        <v>576</v>
      </c>
      <c r="C119" s="39">
        <v>19.5</v>
      </c>
      <c r="D119" s="39"/>
      <c r="E119" s="39"/>
    </row>
    <row r="120" spans="2:5" x14ac:dyDescent="0.3">
      <c r="B120" s="38" t="s">
        <v>203</v>
      </c>
      <c r="C120" s="39">
        <v>0.5</v>
      </c>
      <c r="D120" s="39"/>
      <c r="E120" s="39"/>
    </row>
    <row r="121" spans="2:5" x14ac:dyDescent="0.3">
      <c r="B121" s="38" t="s">
        <v>259</v>
      </c>
      <c r="C121" s="39">
        <v>1</v>
      </c>
      <c r="D121" s="39"/>
      <c r="E121" s="39"/>
    </row>
    <row r="122" spans="2:5" x14ac:dyDescent="0.3">
      <c r="B122" s="38" t="s">
        <v>577</v>
      </c>
      <c r="C122" s="39">
        <v>1.5</v>
      </c>
      <c r="D122" s="39"/>
      <c r="E122" s="39"/>
    </row>
    <row r="123" spans="2:5" x14ac:dyDescent="0.3">
      <c r="B123" s="38" t="s">
        <v>578</v>
      </c>
      <c r="C123" s="39">
        <v>1</v>
      </c>
      <c r="D123" s="39"/>
      <c r="E123" s="39"/>
    </row>
    <row r="124" spans="2:5" x14ac:dyDescent="0.3">
      <c r="B124" s="38" t="s">
        <v>151</v>
      </c>
      <c r="C124" s="39">
        <v>0.25</v>
      </c>
      <c r="D124" s="39"/>
      <c r="E124" s="39"/>
    </row>
    <row r="125" spans="2:5" x14ac:dyDescent="0.3">
      <c r="B125" s="38" t="s">
        <v>579</v>
      </c>
      <c r="C125" s="39">
        <v>1</v>
      </c>
      <c r="D125" s="39"/>
      <c r="E125" s="39"/>
    </row>
    <row r="126" spans="2:5" x14ac:dyDescent="0.3">
      <c r="B126" s="38" t="s">
        <v>351</v>
      </c>
      <c r="C126" s="39">
        <v>1.5</v>
      </c>
      <c r="D126" s="39"/>
      <c r="E126" s="39"/>
    </row>
    <row r="127" spans="2:5" x14ac:dyDescent="0.3">
      <c r="B127" s="38" t="s">
        <v>348</v>
      </c>
      <c r="C127" s="39">
        <v>2</v>
      </c>
      <c r="D127" s="39"/>
      <c r="E127" s="39"/>
    </row>
    <row r="128" spans="2:5" x14ac:dyDescent="0.3">
      <c r="B128" s="38" t="s">
        <v>566</v>
      </c>
      <c r="C128" s="39">
        <v>6</v>
      </c>
      <c r="D128" s="39"/>
      <c r="E128" s="39"/>
    </row>
    <row r="129" spans="2:5" x14ac:dyDescent="0.3">
      <c r="B129" s="38" t="s">
        <v>580</v>
      </c>
      <c r="C129" s="39">
        <v>4.5</v>
      </c>
      <c r="D129" s="39"/>
      <c r="E129" s="39"/>
    </row>
    <row r="130" spans="2:5" x14ac:dyDescent="0.3">
      <c r="B130" s="38" t="s">
        <v>581</v>
      </c>
      <c r="C130" s="39">
        <v>13</v>
      </c>
      <c r="D130" s="39"/>
      <c r="E130" s="39"/>
    </row>
    <row r="131" spans="2:5" x14ac:dyDescent="0.3">
      <c r="B131" s="38" t="s">
        <v>254</v>
      </c>
      <c r="C131" s="39">
        <v>2</v>
      </c>
      <c r="D131" s="39"/>
      <c r="E131" s="39"/>
    </row>
    <row r="132" spans="2:5" x14ac:dyDescent="0.3">
      <c r="B132" s="38" t="s">
        <v>582</v>
      </c>
      <c r="C132" s="39">
        <v>13</v>
      </c>
      <c r="D132" s="39"/>
      <c r="E132" s="39"/>
    </row>
    <row r="133" spans="2:5" x14ac:dyDescent="0.3">
      <c r="B133" s="38" t="s">
        <v>351</v>
      </c>
      <c r="C133" s="39">
        <v>1.5</v>
      </c>
      <c r="D133" s="39"/>
      <c r="E133" s="39"/>
    </row>
    <row r="134" spans="2:5" x14ac:dyDescent="0.3">
      <c r="B134" s="38" t="s">
        <v>348</v>
      </c>
      <c r="C134" s="39">
        <v>0.5</v>
      </c>
      <c r="D134" s="39"/>
      <c r="E134" s="39"/>
    </row>
    <row r="135" spans="2:5" x14ac:dyDescent="0.3">
      <c r="B135" s="38" t="s">
        <v>186</v>
      </c>
      <c r="C135" s="39">
        <v>4.5</v>
      </c>
      <c r="D135" s="39"/>
      <c r="E135" s="39"/>
    </row>
    <row r="136" spans="2:5" x14ac:dyDescent="0.3">
      <c r="B136" s="38" t="s">
        <v>583</v>
      </c>
      <c r="C136" s="39">
        <v>5</v>
      </c>
      <c r="D136" s="39"/>
      <c r="E136" s="39"/>
    </row>
    <row r="137" spans="2:5" x14ac:dyDescent="0.3">
      <c r="B137" s="38" t="s">
        <v>440</v>
      </c>
      <c r="C137" s="39">
        <v>30</v>
      </c>
      <c r="D137" s="39"/>
      <c r="E137" s="39"/>
    </row>
    <row r="138" spans="2:5" x14ac:dyDescent="0.3">
      <c r="B138" s="38" t="s">
        <v>184</v>
      </c>
      <c r="C138" s="39">
        <v>1</v>
      </c>
      <c r="D138" s="39"/>
      <c r="E138" s="39"/>
    </row>
    <row r="139" spans="2:5" x14ac:dyDescent="0.3">
      <c r="B139" s="38" t="s">
        <v>584</v>
      </c>
      <c r="C139" s="39">
        <v>5.5</v>
      </c>
      <c r="D139" s="39"/>
      <c r="E139" s="39"/>
    </row>
    <row r="140" spans="2:5" x14ac:dyDescent="0.3">
      <c r="B140" s="38" t="s">
        <v>552</v>
      </c>
      <c r="C140" s="39">
        <v>3.5</v>
      </c>
      <c r="D140" s="39"/>
      <c r="E140" s="39"/>
    </row>
    <row r="141" spans="2:5" x14ac:dyDescent="0.3">
      <c r="B141" s="38" t="s">
        <v>220</v>
      </c>
      <c r="C141" s="39">
        <v>2.5</v>
      </c>
      <c r="D141" s="39"/>
      <c r="E141" s="39"/>
    </row>
    <row r="142" spans="2:5" x14ac:dyDescent="0.3">
      <c r="B142" s="38" t="s">
        <v>254</v>
      </c>
      <c r="C142" s="39">
        <v>2</v>
      </c>
      <c r="D142" s="39"/>
      <c r="E142" s="39"/>
    </row>
    <row r="143" spans="2:5" x14ac:dyDescent="0.3">
      <c r="B143" s="38" t="s">
        <v>585</v>
      </c>
      <c r="C143" s="39">
        <v>6</v>
      </c>
      <c r="D143" s="39"/>
      <c r="E143" s="39"/>
    </row>
    <row r="144" spans="2:5" x14ac:dyDescent="0.3">
      <c r="B144" s="38" t="s">
        <v>586</v>
      </c>
      <c r="C144" s="39">
        <v>6</v>
      </c>
      <c r="D144" s="39"/>
      <c r="E144" s="39"/>
    </row>
    <row r="145" spans="2:5" x14ac:dyDescent="0.3">
      <c r="B145" s="38" t="s">
        <v>587</v>
      </c>
      <c r="C145" s="39">
        <v>1</v>
      </c>
      <c r="D145" s="39"/>
      <c r="E145" s="39"/>
    </row>
    <row r="146" spans="2:5" x14ac:dyDescent="0.3">
      <c r="B146" s="38" t="s">
        <v>222</v>
      </c>
      <c r="C146" s="39">
        <v>4</v>
      </c>
      <c r="D146" s="39"/>
      <c r="E146" s="39"/>
    </row>
    <row r="147" spans="2:5" x14ac:dyDescent="0.3">
      <c r="B147" s="38" t="s">
        <v>566</v>
      </c>
      <c r="C147" s="39">
        <v>6</v>
      </c>
      <c r="D147" s="39"/>
      <c r="E147" s="39"/>
    </row>
    <row r="148" spans="2:5" x14ac:dyDescent="0.3">
      <c r="B148" s="38" t="s">
        <v>588</v>
      </c>
      <c r="C148" s="39">
        <v>13</v>
      </c>
      <c r="D148" s="39"/>
      <c r="E148" s="39"/>
    </row>
    <row r="149" spans="2:5" x14ac:dyDescent="0.3">
      <c r="B149" s="38" t="s">
        <v>227</v>
      </c>
      <c r="C149" s="39">
        <v>2</v>
      </c>
      <c r="D149" s="39"/>
      <c r="E149" s="39"/>
    </row>
    <row r="150" spans="2:5" x14ac:dyDescent="0.3">
      <c r="B150" s="38" t="s">
        <v>226</v>
      </c>
      <c r="C150" s="39">
        <v>2</v>
      </c>
      <c r="D150" s="39"/>
      <c r="E150" s="39"/>
    </row>
    <row r="151" spans="2:5" x14ac:dyDescent="0.3">
      <c r="B151" s="38" t="s">
        <v>589</v>
      </c>
      <c r="C151" s="39">
        <v>5</v>
      </c>
      <c r="D151" s="39"/>
      <c r="E151" s="39"/>
    </row>
    <row r="152" spans="2:5" x14ac:dyDescent="0.3">
      <c r="B152" s="38" t="s">
        <v>211</v>
      </c>
      <c r="C152" s="39">
        <v>1</v>
      </c>
      <c r="D152" s="39"/>
      <c r="E152" s="39"/>
    </row>
    <row r="153" spans="2:5" x14ac:dyDescent="0.3">
      <c r="B153" s="38" t="s">
        <v>552</v>
      </c>
      <c r="C153" s="39">
        <v>3.5</v>
      </c>
      <c r="D153" s="39"/>
      <c r="E153" s="39"/>
    </row>
    <row r="154" spans="2:5" x14ac:dyDescent="0.3">
      <c r="B154" s="38" t="s">
        <v>256</v>
      </c>
      <c r="C154" s="39">
        <v>2</v>
      </c>
      <c r="D154" s="39"/>
      <c r="E154" s="39"/>
    </row>
    <row r="155" spans="2:5" x14ac:dyDescent="0.3">
      <c r="B155" s="38" t="s">
        <v>562</v>
      </c>
      <c r="C155" s="39">
        <v>1</v>
      </c>
      <c r="D155" s="39"/>
      <c r="E155" s="39"/>
    </row>
    <row r="156" spans="2:5" x14ac:dyDescent="0.3">
      <c r="B156" s="38" t="s">
        <v>161</v>
      </c>
      <c r="C156" s="39">
        <v>2</v>
      </c>
      <c r="D156" s="39"/>
      <c r="E156" s="39"/>
    </row>
    <row r="157" spans="2:5" x14ac:dyDescent="0.3">
      <c r="B157" s="38" t="s">
        <v>562</v>
      </c>
      <c r="C157" s="39">
        <v>1.5</v>
      </c>
      <c r="D157" s="39"/>
      <c r="E157" s="39"/>
    </row>
    <row r="158" spans="2:5" x14ac:dyDescent="0.3">
      <c r="B158" s="38" t="s">
        <v>356</v>
      </c>
      <c r="C158" s="39">
        <v>30</v>
      </c>
      <c r="D158" s="39"/>
      <c r="E158" s="39"/>
    </row>
    <row r="159" spans="2:5" x14ac:dyDescent="0.3">
      <c r="B159" s="38" t="s">
        <v>564</v>
      </c>
      <c r="C159" s="39">
        <v>8</v>
      </c>
      <c r="D159" s="39"/>
      <c r="E159" s="39"/>
    </row>
    <row r="160" spans="2:5" x14ac:dyDescent="0.3">
      <c r="B160" s="38" t="s">
        <v>242</v>
      </c>
      <c r="C160" s="39">
        <v>1.5</v>
      </c>
      <c r="D160" s="39"/>
      <c r="E160" s="39"/>
    </row>
    <row r="161" spans="2:5" x14ac:dyDescent="0.3">
      <c r="B161" s="38" t="s">
        <v>590</v>
      </c>
      <c r="C161" s="39">
        <v>2</v>
      </c>
      <c r="D161" s="39"/>
      <c r="E161" s="39"/>
    </row>
    <row r="162" spans="2:5" x14ac:dyDescent="0.3">
      <c r="B162" s="38" t="s">
        <v>186</v>
      </c>
      <c r="C162" s="39">
        <v>4.5</v>
      </c>
      <c r="D162" s="39"/>
      <c r="E162" s="39"/>
    </row>
    <row r="163" spans="2:5" x14ac:dyDescent="0.3">
      <c r="B163" s="38" t="s">
        <v>174</v>
      </c>
      <c r="C163" s="39">
        <v>1</v>
      </c>
      <c r="D163" s="39"/>
      <c r="E163" s="39"/>
    </row>
    <row r="164" spans="2:5" x14ac:dyDescent="0.3">
      <c r="B164" s="38" t="s">
        <v>578</v>
      </c>
      <c r="C164" s="39">
        <v>1</v>
      </c>
      <c r="D164" s="39"/>
      <c r="E164" s="39"/>
    </row>
    <row r="165" spans="2:5" x14ac:dyDescent="0.3">
      <c r="B165" s="38" t="s">
        <v>174</v>
      </c>
      <c r="C165" s="39">
        <v>1</v>
      </c>
      <c r="D165" s="39"/>
      <c r="E165" s="39"/>
    </row>
    <row r="166" spans="2:5" x14ac:dyDescent="0.3">
      <c r="B166" s="38" t="s">
        <v>356</v>
      </c>
      <c r="C166" s="39">
        <v>30</v>
      </c>
      <c r="D166" s="39"/>
      <c r="E166" s="39"/>
    </row>
    <row r="167" spans="2:5" x14ac:dyDescent="0.3">
      <c r="B167" s="38" t="s">
        <v>242</v>
      </c>
      <c r="C167" s="39">
        <v>2</v>
      </c>
      <c r="D167" s="39"/>
      <c r="E167" s="39"/>
    </row>
    <row r="168" spans="2:5" x14ac:dyDescent="0.3">
      <c r="B168" s="38" t="s">
        <v>357</v>
      </c>
      <c r="C168" s="39">
        <v>2</v>
      </c>
      <c r="D168" s="39"/>
      <c r="E168" s="39"/>
    </row>
    <row r="169" spans="2:5" x14ac:dyDescent="0.3">
      <c r="B169" s="38" t="s">
        <v>591</v>
      </c>
      <c r="C169" s="39">
        <v>6</v>
      </c>
      <c r="D169" s="39"/>
      <c r="E169" s="39"/>
    </row>
    <row r="170" spans="2:5" x14ac:dyDescent="0.3">
      <c r="B170" s="38" t="s">
        <v>264</v>
      </c>
      <c r="C170" s="39">
        <v>0.25</v>
      </c>
      <c r="D170" s="39"/>
      <c r="E170" s="39"/>
    </row>
    <row r="171" spans="2:5" x14ac:dyDescent="0.3">
      <c r="B171" s="38" t="s">
        <v>592</v>
      </c>
      <c r="C171" s="39">
        <v>30</v>
      </c>
      <c r="D171" s="39"/>
      <c r="E171" s="39"/>
    </row>
    <row r="172" spans="2:5" x14ac:dyDescent="0.3">
      <c r="B172" s="38" t="s">
        <v>367</v>
      </c>
      <c r="C172" s="39">
        <v>4</v>
      </c>
      <c r="D172" s="39"/>
      <c r="E172" s="39"/>
    </row>
    <row r="173" spans="2:5" x14ac:dyDescent="0.3">
      <c r="B173" s="38" t="s">
        <v>562</v>
      </c>
      <c r="C173" s="39">
        <v>1</v>
      </c>
      <c r="D173" s="39"/>
      <c r="E173" s="39"/>
    </row>
    <row r="174" spans="2:5" x14ac:dyDescent="0.3">
      <c r="B174" s="38" t="s">
        <v>566</v>
      </c>
      <c r="C174" s="39">
        <v>6</v>
      </c>
      <c r="D174" s="39"/>
      <c r="E174" s="39"/>
    </row>
    <row r="175" spans="2:5" x14ac:dyDescent="0.3">
      <c r="B175" s="38" t="s">
        <v>593</v>
      </c>
      <c r="C175" s="39">
        <v>2</v>
      </c>
      <c r="D175" s="39"/>
      <c r="E175" s="39"/>
    </row>
    <row r="176" spans="2:5" x14ac:dyDescent="0.3">
      <c r="B176" s="38" t="s">
        <v>225</v>
      </c>
      <c r="C176" s="39">
        <v>4</v>
      </c>
      <c r="D176" s="39"/>
      <c r="E176" s="39"/>
    </row>
    <row r="177" spans="2:5" x14ac:dyDescent="0.3">
      <c r="B177" s="38" t="s">
        <v>356</v>
      </c>
      <c r="C177" s="39">
        <v>30</v>
      </c>
      <c r="D177" s="39"/>
      <c r="E177" s="39"/>
    </row>
    <row r="178" spans="2:5" x14ac:dyDescent="0.3">
      <c r="B178" s="38" t="s">
        <v>594</v>
      </c>
      <c r="C178" s="39">
        <v>2</v>
      </c>
      <c r="D178" s="39"/>
      <c r="E178" s="39"/>
    </row>
    <row r="179" spans="2:5" x14ac:dyDescent="0.3">
      <c r="B179" s="38" t="s">
        <v>563</v>
      </c>
      <c r="C179" s="39">
        <v>2</v>
      </c>
      <c r="D179" s="39"/>
      <c r="E179" s="39"/>
    </row>
    <row r="180" spans="2:5" x14ac:dyDescent="0.3">
      <c r="B180" s="38" t="s">
        <v>222</v>
      </c>
      <c r="C180" s="39">
        <v>4</v>
      </c>
      <c r="D180" s="39"/>
      <c r="E180" s="39"/>
    </row>
    <row r="181" spans="2:5" x14ac:dyDescent="0.3">
      <c r="B181" s="38" t="s">
        <v>595</v>
      </c>
      <c r="C181" s="39">
        <v>5</v>
      </c>
      <c r="D181" s="39"/>
      <c r="E181" s="39"/>
    </row>
    <row r="182" spans="2:5" x14ac:dyDescent="0.3">
      <c r="B182" s="38" t="s">
        <v>174</v>
      </c>
      <c r="C182" s="39">
        <v>1</v>
      </c>
      <c r="D182" s="39"/>
      <c r="E182" s="39"/>
    </row>
    <row r="183" spans="2:5" x14ac:dyDescent="0.3">
      <c r="B183" s="38" t="s">
        <v>172</v>
      </c>
      <c r="C183" s="39">
        <v>2</v>
      </c>
      <c r="D183" s="39"/>
      <c r="E183" s="39"/>
    </row>
    <row r="184" spans="2:5" x14ac:dyDescent="0.3">
      <c r="B184" s="38" t="s">
        <v>227</v>
      </c>
      <c r="C184" s="39">
        <v>2</v>
      </c>
      <c r="D184" s="39"/>
      <c r="E184" s="39"/>
    </row>
    <row r="185" spans="2:5" x14ac:dyDescent="0.3">
      <c r="B185" s="38" t="s">
        <v>226</v>
      </c>
      <c r="C185" s="39">
        <v>2</v>
      </c>
      <c r="D185" s="39"/>
      <c r="E185" s="39"/>
    </row>
    <row r="186" spans="2:5" x14ac:dyDescent="0.3">
      <c r="B186" s="38" t="s">
        <v>222</v>
      </c>
      <c r="C186" s="39">
        <v>4</v>
      </c>
      <c r="D186" s="39"/>
      <c r="E186" s="39"/>
    </row>
    <row r="187" spans="2:5" x14ac:dyDescent="0.3">
      <c r="B187" s="38" t="s">
        <v>596</v>
      </c>
      <c r="C187" s="39">
        <v>4.5</v>
      </c>
      <c r="D187" s="39"/>
      <c r="E187" s="39"/>
    </row>
    <row r="188" spans="2:5" x14ac:dyDescent="0.3">
      <c r="B188" s="38" t="s">
        <v>597</v>
      </c>
      <c r="C188" s="39">
        <v>12</v>
      </c>
      <c r="D188" s="39"/>
      <c r="E188" s="39"/>
    </row>
    <row r="189" spans="2:5" x14ac:dyDescent="0.3">
      <c r="B189" s="38" t="s">
        <v>435</v>
      </c>
      <c r="C189" s="39">
        <v>4</v>
      </c>
      <c r="D189" s="39"/>
      <c r="E189" s="39"/>
    </row>
    <row r="190" spans="2:5" x14ac:dyDescent="0.3">
      <c r="B190" s="38" t="s">
        <v>345</v>
      </c>
      <c r="C190" s="39">
        <v>3</v>
      </c>
      <c r="D190" s="39"/>
      <c r="E190" s="39"/>
    </row>
    <row r="191" spans="2:5" x14ac:dyDescent="0.3">
      <c r="B191" s="38" t="s">
        <v>598</v>
      </c>
      <c r="C191" s="39">
        <v>4</v>
      </c>
      <c r="D191" s="39"/>
      <c r="E191" s="39"/>
    </row>
    <row r="192" spans="2:5" x14ac:dyDescent="0.3">
      <c r="B192" s="38" t="s">
        <v>174</v>
      </c>
      <c r="C192" s="39">
        <v>1</v>
      </c>
      <c r="D192" s="39"/>
      <c r="E192" s="39"/>
    </row>
    <row r="193" spans="2:5" x14ac:dyDescent="0.3">
      <c r="B193" s="38" t="s">
        <v>172</v>
      </c>
      <c r="C193" s="39">
        <v>2</v>
      </c>
      <c r="D193" s="39"/>
      <c r="E193" s="39"/>
    </row>
    <row r="194" spans="2:5" x14ac:dyDescent="0.3">
      <c r="B194" s="38" t="s">
        <v>585</v>
      </c>
      <c r="C194" s="39">
        <v>6</v>
      </c>
      <c r="D194" s="39"/>
      <c r="E194" s="39"/>
    </row>
    <row r="195" spans="2:5" x14ac:dyDescent="0.3">
      <c r="B195" s="38" t="s">
        <v>178</v>
      </c>
      <c r="C195" s="39">
        <v>6</v>
      </c>
      <c r="D195" s="39"/>
      <c r="E195" s="39"/>
    </row>
    <row r="196" spans="2:5" x14ac:dyDescent="0.3">
      <c r="B196" s="38" t="s">
        <v>599</v>
      </c>
      <c r="C196" s="39">
        <v>4</v>
      </c>
      <c r="D196" s="39"/>
      <c r="E196" s="39"/>
    </row>
    <row r="197" spans="2:5" x14ac:dyDescent="0.3">
      <c r="B197" s="38" t="s">
        <v>222</v>
      </c>
      <c r="C197" s="39">
        <v>4</v>
      </c>
      <c r="D197" s="39"/>
      <c r="E197" s="39"/>
    </row>
    <row r="198" spans="2:5" x14ac:dyDescent="0.3">
      <c r="B198" s="38" t="s">
        <v>600</v>
      </c>
      <c r="C198" s="39">
        <v>13</v>
      </c>
      <c r="D198" s="39"/>
      <c r="E198" s="39"/>
    </row>
    <row r="199" spans="2:5" x14ac:dyDescent="0.3">
      <c r="B199" s="38" t="s">
        <v>221</v>
      </c>
      <c r="C199" s="39">
        <v>1.5</v>
      </c>
      <c r="D199" s="39"/>
      <c r="E199" s="39"/>
    </row>
    <row r="200" spans="2:5" x14ac:dyDescent="0.3">
      <c r="B200" s="38" t="s">
        <v>186</v>
      </c>
      <c r="C200" s="39">
        <v>4.5</v>
      </c>
      <c r="D200" s="39"/>
      <c r="E200" s="39"/>
    </row>
    <row r="201" spans="2:5" x14ac:dyDescent="0.3">
      <c r="B201" s="38" t="s">
        <v>221</v>
      </c>
      <c r="C201" s="39">
        <v>1.5</v>
      </c>
      <c r="D201" s="39"/>
      <c r="E201" s="39"/>
    </row>
    <row r="202" spans="2:5" x14ac:dyDescent="0.3">
      <c r="B202" s="38" t="s">
        <v>184</v>
      </c>
      <c r="C202" s="39">
        <v>0.25</v>
      </c>
      <c r="D202" s="39"/>
      <c r="E202" s="39"/>
    </row>
    <row r="203" spans="2:5" x14ac:dyDescent="0.3">
      <c r="B203" s="38" t="s">
        <v>545</v>
      </c>
      <c r="C203" s="39">
        <v>3.5</v>
      </c>
      <c r="D203" s="39"/>
      <c r="E203" s="39"/>
    </row>
    <row r="204" spans="2:5" x14ac:dyDescent="0.3">
      <c r="B204" s="38" t="s">
        <v>169</v>
      </c>
      <c r="C204" s="39">
        <v>1.5</v>
      </c>
      <c r="D204" s="39"/>
      <c r="E204" s="39"/>
    </row>
    <row r="205" spans="2:5" x14ac:dyDescent="0.3">
      <c r="B205" s="38" t="s">
        <v>203</v>
      </c>
      <c r="C205" s="39">
        <v>0.25</v>
      </c>
      <c r="D205" s="39"/>
      <c r="E205" s="39"/>
    </row>
    <row r="206" spans="2:5" x14ac:dyDescent="0.3">
      <c r="B206" s="38" t="s">
        <v>174</v>
      </c>
      <c r="C206" s="39">
        <v>1</v>
      </c>
      <c r="D206" s="39"/>
      <c r="E206" s="39"/>
    </row>
    <row r="207" spans="2:5" x14ac:dyDescent="0.3">
      <c r="B207" s="38" t="s">
        <v>172</v>
      </c>
      <c r="C207" s="39">
        <v>2</v>
      </c>
      <c r="D207" s="39"/>
      <c r="E207" s="39"/>
    </row>
    <row r="208" spans="2:5" x14ac:dyDescent="0.3">
      <c r="B208" s="38" t="s">
        <v>226</v>
      </c>
      <c r="C208" s="39">
        <v>2</v>
      </c>
      <c r="D208" s="39"/>
      <c r="E208" s="39"/>
    </row>
    <row r="209" spans="2:5" x14ac:dyDescent="0.3">
      <c r="B209" s="38" t="s">
        <v>239</v>
      </c>
      <c r="C209" s="39">
        <v>3</v>
      </c>
      <c r="D209" s="39"/>
      <c r="E209" s="39"/>
    </row>
    <row r="210" spans="2:5" x14ac:dyDescent="0.3">
      <c r="B210" s="38" t="s">
        <v>601</v>
      </c>
      <c r="C210" s="39">
        <v>32</v>
      </c>
      <c r="D210" s="39"/>
      <c r="E210" s="39"/>
    </row>
    <row r="211" spans="2:5" x14ac:dyDescent="0.3">
      <c r="B211" s="38" t="s">
        <v>602</v>
      </c>
      <c r="C211" s="39">
        <v>2</v>
      </c>
      <c r="D211" s="39"/>
      <c r="E211" s="39"/>
    </row>
    <row r="212" spans="2:5" x14ac:dyDescent="0.3">
      <c r="B212" s="38" t="s">
        <v>589</v>
      </c>
      <c r="C212" s="39">
        <v>5</v>
      </c>
      <c r="D212" s="39"/>
      <c r="E212" s="39"/>
    </row>
    <row r="213" spans="2:5" x14ac:dyDescent="0.3">
      <c r="B213" s="38" t="s">
        <v>603</v>
      </c>
      <c r="C213" s="39">
        <v>1.5</v>
      </c>
      <c r="D213" s="39"/>
      <c r="E213" s="39"/>
    </row>
    <row r="214" spans="2:5" x14ac:dyDescent="0.3">
      <c r="B214" s="38" t="s">
        <v>556</v>
      </c>
      <c r="C214" s="39">
        <v>0.5</v>
      </c>
      <c r="D214" s="39"/>
      <c r="E214" s="39"/>
    </row>
    <row r="215" spans="2:5" x14ac:dyDescent="0.3">
      <c r="B215" s="38" t="s">
        <v>604</v>
      </c>
      <c r="C215" s="39">
        <v>9</v>
      </c>
      <c r="D215" s="39"/>
      <c r="E215" s="39"/>
    </row>
    <row r="216" spans="2:5" x14ac:dyDescent="0.3">
      <c r="B216" s="38" t="s">
        <v>605</v>
      </c>
      <c r="C216" s="39">
        <v>8</v>
      </c>
      <c r="D216" s="39"/>
      <c r="E216" s="39"/>
    </row>
    <row r="217" spans="2:5" x14ac:dyDescent="0.3">
      <c r="B217" s="38" t="s">
        <v>606</v>
      </c>
      <c r="C217" s="39">
        <v>0.5</v>
      </c>
      <c r="D217" s="39"/>
      <c r="E217" s="39"/>
    </row>
    <row r="218" spans="2:5" x14ac:dyDescent="0.3">
      <c r="B218" s="41" t="s">
        <v>606</v>
      </c>
      <c r="C218" s="42">
        <v>1</v>
      </c>
      <c r="D218" s="42"/>
      <c r="E218" s="43"/>
    </row>
    <row r="219" spans="2:5" x14ac:dyDescent="0.3">
      <c r="B219" s="41" t="s">
        <v>239</v>
      </c>
      <c r="C219" s="42">
        <v>3</v>
      </c>
      <c r="D219" s="42"/>
      <c r="E219" s="43"/>
    </row>
    <row r="220" spans="2:5" x14ac:dyDescent="0.3">
      <c r="B220" s="41" t="s">
        <v>607</v>
      </c>
      <c r="C220" s="42">
        <v>45</v>
      </c>
      <c r="D220" s="42"/>
      <c r="E220" s="43"/>
    </row>
    <row r="221" spans="2:5" x14ac:dyDescent="0.3">
      <c r="B221" s="41" t="s">
        <v>589</v>
      </c>
      <c r="C221" s="42">
        <v>5</v>
      </c>
      <c r="D221" s="42"/>
      <c r="E221" s="43"/>
    </row>
    <row r="222" spans="2:5" x14ac:dyDescent="0.3">
      <c r="B222" s="41" t="s">
        <v>169</v>
      </c>
      <c r="C222" s="42">
        <v>1.5</v>
      </c>
      <c r="D222" s="42"/>
      <c r="E222" s="43"/>
    </row>
    <row r="223" spans="2:5" x14ac:dyDescent="0.3">
      <c r="B223" s="41" t="s">
        <v>357</v>
      </c>
      <c r="C223" s="42">
        <v>5</v>
      </c>
      <c r="D223" s="42"/>
      <c r="E223" s="43"/>
    </row>
    <row r="224" spans="2:5" x14ac:dyDescent="0.3">
      <c r="B224" s="41" t="s">
        <v>351</v>
      </c>
      <c r="C224" s="42">
        <v>1.5</v>
      </c>
      <c r="D224" s="42"/>
      <c r="E224" s="43"/>
    </row>
    <row r="225" spans="2:14" x14ac:dyDescent="0.3">
      <c r="B225" s="41" t="s">
        <v>566</v>
      </c>
      <c r="C225" s="42">
        <v>6</v>
      </c>
      <c r="D225" s="42"/>
      <c r="E225" s="43"/>
    </row>
    <row r="226" spans="2:14" x14ac:dyDescent="0.3">
      <c r="B226" s="41" t="s">
        <v>566</v>
      </c>
      <c r="C226" s="42">
        <v>6</v>
      </c>
      <c r="D226" s="42"/>
      <c r="E226" s="43"/>
    </row>
    <row r="227" spans="2:14" x14ac:dyDescent="0.3">
      <c r="B227" s="41" t="s">
        <v>172</v>
      </c>
      <c r="C227" s="42">
        <v>2</v>
      </c>
      <c r="D227" s="42"/>
      <c r="E227" s="43"/>
    </row>
    <row r="228" spans="2:14" x14ac:dyDescent="0.3">
      <c r="B228" s="41" t="s">
        <v>174</v>
      </c>
      <c r="C228" s="42">
        <v>1</v>
      </c>
      <c r="D228" s="42"/>
      <c r="E228" s="43"/>
    </row>
    <row r="229" spans="2:14" x14ac:dyDescent="0.3">
      <c r="B229" s="41" t="s">
        <v>351</v>
      </c>
      <c r="C229" s="42">
        <v>1.5</v>
      </c>
      <c r="D229" s="42"/>
      <c r="E229" s="43"/>
    </row>
    <row r="230" spans="2:14" x14ac:dyDescent="0.3">
      <c r="B230" s="41" t="s">
        <v>169</v>
      </c>
      <c r="C230" s="42">
        <v>1.5</v>
      </c>
      <c r="D230" s="42"/>
      <c r="E230" s="43"/>
    </row>
    <row r="231" spans="2:14" x14ac:dyDescent="0.3">
      <c r="B231" s="41" t="s">
        <v>610</v>
      </c>
      <c r="C231" s="42">
        <v>4</v>
      </c>
      <c r="D231" s="42"/>
      <c r="E231" s="43"/>
    </row>
    <row r="232" spans="2:14" x14ac:dyDescent="0.3">
      <c r="B232" s="28"/>
      <c r="C232" s="29"/>
      <c r="D232" s="29"/>
      <c r="E232" s="18"/>
    </row>
    <row r="233" spans="2:14" ht="26" x14ac:dyDescent="0.3">
      <c r="B233" s="28"/>
      <c r="C233" s="56">
        <f>SUM(C5:C231)</f>
        <v>1174.5</v>
      </c>
      <c r="D233" s="56">
        <f>SUM(D5:D230)</f>
        <v>378.5</v>
      </c>
      <c r="E233" s="56">
        <f>SUM(E5:E36)</f>
        <v>856.06</v>
      </c>
      <c r="F233" s="67">
        <f>C233-E233</f>
        <v>318.44000000000005</v>
      </c>
      <c r="G233" s="68">
        <f>C233+D233</f>
        <v>1553</v>
      </c>
      <c r="H233" s="68">
        <f>G233-E233</f>
        <v>696.94</v>
      </c>
      <c r="I233" s="67">
        <f>H233-D233</f>
        <v>318.44000000000005</v>
      </c>
      <c r="J233" s="69">
        <v>80</v>
      </c>
      <c r="K233" s="69">
        <f>I233-J233</f>
        <v>238.44000000000005</v>
      </c>
      <c r="L233" s="30">
        <f>K233+I7</f>
        <v>276.24000000000007</v>
      </c>
      <c r="M233" s="30">
        <v>250</v>
      </c>
      <c r="N233" s="10"/>
    </row>
    <row r="234" spans="2:14" x14ac:dyDescent="0.3">
      <c r="B234" s="28"/>
      <c r="C234" s="29"/>
      <c r="D234" s="29"/>
      <c r="E234" s="18"/>
    </row>
    <row r="235" spans="2:14" ht="26" x14ac:dyDescent="0.3">
      <c r="B235" s="28"/>
      <c r="C235" s="29"/>
      <c r="D235" s="29"/>
      <c r="E235" s="77">
        <f>C233+D233+E233</f>
        <v>2409.06</v>
      </c>
    </row>
    <row r="236" spans="2:14" ht="26" x14ac:dyDescent="0.3">
      <c r="B236" s="28"/>
      <c r="C236" s="29"/>
      <c r="D236" s="29"/>
      <c r="E236" s="77">
        <f>E235-E233</f>
        <v>1553</v>
      </c>
    </row>
    <row r="237" spans="2:14" x14ac:dyDescent="0.3">
      <c r="B237" s="28"/>
      <c r="C237" s="29"/>
      <c r="D237" s="29"/>
      <c r="E237" s="18"/>
    </row>
    <row r="238" spans="2:14" x14ac:dyDescent="0.3">
      <c r="B238" s="28"/>
      <c r="C238" s="29"/>
      <c r="D238" s="29"/>
      <c r="E238" s="18"/>
    </row>
    <row r="239" spans="2:14" x14ac:dyDescent="0.3">
      <c r="B239" s="28"/>
      <c r="C239" s="29"/>
      <c r="D239" s="29"/>
      <c r="E239" s="18"/>
    </row>
    <row r="240" spans="2:14" x14ac:dyDescent="0.3">
      <c r="B240" s="28"/>
      <c r="C240" s="29"/>
      <c r="D240" s="29"/>
      <c r="E240" s="18"/>
    </row>
    <row r="241" spans="2:5" x14ac:dyDescent="0.3">
      <c r="B241" s="28"/>
      <c r="C241" s="29"/>
      <c r="D241" s="29"/>
      <c r="E241" s="18"/>
    </row>
    <row r="242" spans="2:5" x14ac:dyDescent="0.3">
      <c r="B242" s="28"/>
      <c r="C242" s="29"/>
      <c r="D242" s="29"/>
      <c r="E242" s="18"/>
    </row>
    <row r="243" spans="2:5" x14ac:dyDescent="0.3">
      <c r="B243" s="28"/>
      <c r="C243" s="29"/>
      <c r="D243" s="29"/>
      <c r="E243" s="18"/>
    </row>
    <row r="244" spans="2:5" x14ac:dyDescent="0.3">
      <c r="B244" s="28"/>
      <c r="C244" s="29"/>
      <c r="D244" s="29"/>
      <c r="E244" s="18"/>
    </row>
    <row r="245" spans="2:5" x14ac:dyDescent="0.3">
      <c r="B245" s="28"/>
      <c r="C245" s="29"/>
      <c r="D245" s="29"/>
      <c r="E245" s="18"/>
    </row>
    <row r="246" spans="2:5" x14ac:dyDescent="0.3">
      <c r="B246" s="28"/>
      <c r="C246" s="29"/>
      <c r="D246" s="29"/>
      <c r="E246" s="18"/>
    </row>
    <row r="247" spans="2:5" x14ac:dyDescent="0.3">
      <c r="B247" s="28"/>
      <c r="C247" s="29"/>
      <c r="D247" s="29"/>
      <c r="E247" s="18"/>
    </row>
    <row r="248" spans="2:5" x14ac:dyDescent="0.3">
      <c r="B248" s="28"/>
      <c r="C248" s="29"/>
      <c r="D248" s="29"/>
      <c r="E248" s="18"/>
    </row>
    <row r="249" spans="2:5" x14ac:dyDescent="0.3">
      <c r="B249" s="28"/>
      <c r="C249" s="29"/>
      <c r="D249" s="29"/>
      <c r="E249" s="18"/>
    </row>
    <row r="250" spans="2:5" x14ac:dyDescent="0.3">
      <c r="B250" s="28"/>
      <c r="C250" s="29"/>
      <c r="D250" s="29"/>
      <c r="E250" s="18"/>
    </row>
    <row r="251" spans="2:5" x14ac:dyDescent="0.3">
      <c r="B251" s="28"/>
      <c r="C251" s="29"/>
      <c r="D251" s="29"/>
      <c r="E251" s="18"/>
    </row>
    <row r="252" spans="2:5" x14ac:dyDescent="0.3">
      <c r="B252" s="28"/>
      <c r="C252" s="29"/>
      <c r="D252" s="29"/>
      <c r="E252" s="18"/>
    </row>
    <row r="253" spans="2:5" x14ac:dyDescent="0.3">
      <c r="B253" s="28"/>
      <c r="C253" s="29"/>
      <c r="D253" s="29"/>
      <c r="E253" s="18"/>
    </row>
    <row r="254" spans="2:5" x14ac:dyDescent="0.3">
      <c r="B254" s="28"/>
      <c r="C254" s="29"/>
      <c r="D254" s="29"/>
      <c r="E254" s="18"/>
    </row>
    <row r="255" spans="2:5" x14ac:dyDescent="0.3">
      <c r="B255" s="28"/>
      <c r="C255" s="29"/>
      <c r="D255" s="29"/>
      <c r="E255" s="18"/>
    </row>
    <row r="256" spans="2:5" x14ac:dyDescent="0.3">
      <c r="B256" s="28"/>
      <c r="C256" s="29"/>
      <c r="D256" s="29"/>
      <c r="E256" s="18"/>
    </row>
    <row r="257" spans="2:5" x14ac:dyDescent="0.3">
      <c r="B257" s="28"/>
      <c r="C257" s="29"/>
      <c r="D257" s="29"/>
      <c r="E257" s="18"/>
    </row>
    <row r="258" spans="2:5" x14ac:dyDescent="0.3">
      <c r="B258" s="28"/>
      <c r="C258" s="29"/>
      <c r="D258" s="29"/>
      <c r="E258" s="18"/>
    </row>
    <row r="259" spans="2:5" x14ac:dyDescent="0.3">
      <c r="B259" s="28"/>
      <c r="C259" s="29"/>
      <c r="D259" s="29"/>
      <c r="E259" s="18"/>
    </row>
    <row r="260" spans="2:5" x14ac:dyDescent="0.3">
      <c r="B260" s="28"/>
      <c r="C260" s="29"/>
      <c r="D260" s="29"/>
      <c r="E260" s="18"/>
    </row>
    <row r="261" spans="2:5" x14ac:dyDescent="0.3">
      <c r="B261" s="28"/>
      <c r="C261" s="29"/>
      <c r="D261" s="29"/>
      <c r="E261" s="18"/>
    </row>
    <row r="262" spans="2:5" x14ac:dyDescent="0.3">
      <c r="B262" s="6"/>
      <c r="C262" s="18"/>
      <c r="D262" s="18"/>
      <c r="E262" s="18"/>
    </row>
    <row r="263" spans="2:5" x14ac:dyDescent="0.3">
      <c r="B263" s="6"/>
      <c r="C263" s="18"/>
      <c r="D263" s="18"/>
      <c r="E263" s="18"/>
    </row>
    <row r="264" spans="2:5" x14ac:dyDescent="0.3">
      <c r="B264" s="6"/>
      <c r="C264" s="18"/>
      <c r="D264" s="18"/>
      <c r="E264" s="18"/>
    </row>
    <row r="265" spans="2:5" x14ac:dyDescent="0.3">
      <c r="B265" s="6"/>
      <c r="C265" s="18"/>
      <c r="D265" s="18"/>
      <c r="E265" s="18"/>
    </row>
    <row r="266" spans="2:5" x14ac:dyDescent="0.3">
      <c r="B266" s="6"/>
      <c r="C266" s="18"/>
      <c r="D266" s="18"/>
      <c r="E266" s="18"/>
    </row>
    <row r="267" spans="2:5" x14ac:dyDescent="0.3">
      <c r="B267" s="6"/>
      <c r="C267" s="18"/>
      <c r="D267" s="18"/>
      <c r="E267" s="18"/>
    </row>
    <row r="268" spans="2:5" x14ac:dyDescent="0.3">
      <c r="B268" s="6"/>
      <c r="C268" s="18"/>
      <c r="D268" s="18"/>
      <c r="E268" s="18"/>
    </row>
    <row r="269" spans="2:5" x14ac:dyDescent="0.3">
      <c r="B269" s="6"/>
      <c r="C269" s="18"/>
      <c r="D269" s="18"/>
      <c r="E269" s="18"/>
    </row>
    <row r="270" spans="2:5" x14ac:dyDescent="0.3">
      <c r="B270" s="6"/>
      <c r="C270" s="18"/>
      <c r="D270" s="18"/>
      <c r="E270" s="18"/>
    </row>
    <row r="271" spans="2:5" x14ac:dyDescent="0.3">
      <c r="B271" s="6"/>
      <c r="C271" s="18"/>
      <c r="D271" s="18"/>
      <c r="E271" s="18"/>
    </row>
    <row r="272" spans="2:5" x14ac:dyDescent="0.3">
      <c r="B272" s="6"/>
      <c r="C272" s="18"/>
      <c r="D272" s="18"/>
      <c r="E272" s="18"/>
    </row>
    <row r="273" spans="2:5" x14ac:dyDescent="0.3">
      <c r="B273" s="6"/>
      <c r="C273" s="18"/>
      <c r="D273" s="18"/>
      <c r="E273" s="18"/>
    </row>
    <row r="274" spans="2:5" x14ac:dyDescent="0.3">
      <c r="B274" s="6"/>
      <c r="C274" s="18"/>
      <c r="D274" s="18"/>
      <c r="E274" s="18"/>
    </row>
    <row r="275" spans="2:5" x14ac:dyDescent="0.3">
      <c r="B275" s="6"/>
      <c r="C275" s="18"/>
      <c r="D275" s="18"/>
      <c r="E275" s="18"/>
    </row>
    <row r="276" spans="2:5" x14ac:dyDescent="0.3">
      <c r="B276" s="6"/>
      <c r="C276" s="18"/>
      <c r="D276" s="18"/>
      <c r="E276" s="18"/>
    </row>
    <row r="277" spans="2:5" x14ac:dyDescent="0.3">
      <c r="B277" s="6"/>
      <c r="C277" s="18"/>
      <c r="D277" s="18"/>
      <c r="E277" s="18"/>
    </row>
    <row r="278" spans="2:5" x14ac:dyDescent="0.3">
      <c r="B278" s="6"/>
      <c r="C278" s="18"/>
      <c r="D278" s="18"/>
      <c r="E278" s="18"/>
    </row>
    <row r="279" spans="2:5" x14ac:dyDescent="0.3">
      <c r="B279" s="6"/>
      <c r="C279" s="18"/>
      <c r="D279" s="18"/>
      <c r="E279" s="18"/>
    </row>
    <row r="280" spans="2:5" x14ac:dyDescent="0.3">
      <c r="B280" s="6"/>
      <c r="C280" s="18"/>
      <c r="D280" s="18"/>
      <c r="E280" s="18"/>
    </row>
    <row r="281" spans="2:5" x14ac:dyDescent="0.3">
      <c r="B281" s="6"/>
      <c r="C281" s="18"/>
      <c r="D281" s="18"/>
      <c r="E281" s="18"/>
    </row>
    <row r="282" spans="2:5" x14ac:dyDescent="0.3">
      <c r="B282" s="6"/>
      <c r="C282" s="18"/>
      <c r="D282" s="18"/>
      <c r="E282" s="18"/>
    </row>
    <row r="283" spans="2:5" x14ac:dyDescent="0.3">
      <c r="B283" s="6"/>
      <c r="C283" s="18"/>
      <c r="D283" s="18"/>
      <c r="E283" s="18"/>
    </row>
    <row r="284" spans="2:5" x14ac:dyDescent="0.3">
      <c r="B284" s="6"/>
      <c r="C284" s="18"/>
      <c r="D284" s="18"/>
      <c r="E284" s="18"/>
    </row>
    <row r="285" spans="2:5" x14ac:dyDescent="0.3">
      <c r="B285" s="6"/>
      <c r="C285" s="18"/>
      <c r="D285" s="18"/>
      <c r="E285" s="18"/>
    </row>
    <row r="286" spans="2:5" x14ac:dyDescent="0.3">
      <c r="B286" s="6"/>
      <c r="C286" s="18"/>
      <c r="D286" s="18"/>
      <c r="E286" s="18"/>
    </row>
    <row r="287" spans="2:5" x14ac:dyDescent="0.3">
      <c r="B287" s="6"/>
      <c r="C287" s="18"/>
      <c r="D287" s="18"/>
      <c r="E287" s="18"/>
    </row>
    <row r="288" spans="2:5" x14ac:dyDescent="0.3">
      <c r="B288" s="6"/>
      <c r="C288" s="18"/>
      <c r="D288" s="18"/>
      <c r="E288" s="18"/>
    </row>
    <row r="289" spans="2:7" x14ac:dyDescent="0.3">
      <c r="B289" s="6"/>
      <c r="C289" s="18"/>
      <c r="D289" s="18"/>
      <c r="E289" s="18"/>
    </row>
    <row r="290" spans="2:7" x14ac:dyDescent="0.3">
      <c r="B290" s="6"/>
      <c r="C290" s="18"/>
      <c r="D290" s="18"/>
      <c r="E290" s="18"/>
    </row>
    <row r="291" spans="2:7" x14ac:dyDescent="0.3">
      <c r="B291" s="6"/>
      <c r="C291" s="18"/>
      <c r="D291" s="18"/>
      <c r="E291" s="18"/>
    </row>
    <row r="292" spans="2:7" x14ac:dyDescent="0.3">
      <c r="B292" s="6"/>
      <c r="C292" s="18"/>
      <c r="D292" s="18"/>
      <c r="E292" s="18"/>
    </row>
    <row r="293" spans="2:7" x14ac:dyDescent="0.3">
      <c r="B293" s="6"/>
      <c r="C293" s="18"/>
      <c r="D293" s="18"/>
      <c r="E293" s="18"/>
    </row>
    <row r="294" spans="2:7" x14ac:dyDescent="0.3">
      <c r="B294" s="6"/>
      <c r="C294" s="18"/>
      <c r="D294" s="18"/>
      <c r="E294" s="18"/>
    </row>
    <row r="295" spans="2:7" x14ac:dyDescent="0.3">
      <c r="B295" s="6"/>
      <c r="C295" s="18"/>
      <c r="D295" s="18"/>
      <c r="E295" s="18"/>
    </row>
    <row r="296" spans="2:7" x14ac:dyDescent="0.3">
      <c r="C296" s="12"/>
      <c r="D296" s="12"/>
      <c r="E296" s="12"/>
      <c r="F296" s="10"/>
      <c r="G296" s="10"/>
    </row>
    <row r="298" spans="2:7" x14ac:dyDescent="0.3">
      <c r="C298" s="12"/>
      <c r="D298" s="10"/>
      <c r="F298" s="10"/>
      <c r="G298" s="10"/>
    </row>
    <row r="300" spans="2:7" x14ac:dyDescent="0.3">
      <c r="C300" s="10"/>
      <c r="D300" s="10"/>
    </row>
    <row r="301" spans="2:7" x14ac:dyDescent="0.3">
      <c r="C301" s="27"/>
    </row>
    <row r="302" spans="2:7" x14ac:dyDescent="0.3">
      <c r="C302" s="10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Fulan-Junho)</vt:lpstr>
      <vt:lpstr>Sparpart-motor</vt:lpstr>
      <vt:lpstr>Fulan Marco</vt:lpstr>
      <vt:lpstr>Fulan-Abril</vt:lpstr>
      <vt:lpstr>Fulan-Maio</vt:lpstr>
      <vt:lpstr>'Sparpart-motor'!Print_Area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Office</cp:lastModifiedBy>
  <cp:lastPrinted>2026-03-23T01:38:29Z</cp:lastPrinted>
  <dcterms:created xsi:type="dcterms:W3CDTF">2026-01-26T01:34:49Z</dcterms:created>
  <dcterms:modified xsi:type="dcterms:W3CDTF">2026-06-30T11:31:28Z</dcterms:modified>
</cp:coreProperties>
</file>